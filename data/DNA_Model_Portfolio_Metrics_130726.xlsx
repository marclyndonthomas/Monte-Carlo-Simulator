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megacloudmail1-my.sharepoint.com/personal/marc_thomas_attooh_co_za/Documents/Desktop/DNA Invest/Blended Portfolio metrics/"/>
    </mc:Choice>
  </mc:AlternateContent>
  <xr:revisionPtr revIDLastSave="2051" documentId="8_{258D6752-AA29-4249-BB06-E7A495CA3FAB}" xr6:coauthVersionLast="47" xr6:coauthVersionMax="47" xr10:uidLastSave="{7C72CF4C-3AB3-483C-86E4-2DE7CA66392A}"/>
  <bookViews>
    <workbookView xWindow="15210" yWindow="9480" windowWidth="7500" windowHeight="6000" firstSheet="3" activeTab="3" xr2:uid="{00000000-000D-0000-FFFF-FFFF00000000}"/>
  </bookViews>
  <sheets>
    <sheet name="Portfolio Insights" sheetId="3" r:id="rId1"/>
    <sheet name="Model Portfolios" sheetId="1" r:id="rId2"/>
    <sheet name="Underlying Funds" sheetId="6" r:id="rId3"/>
    <sheet name="Monarch Model Portfolios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0" l="1"/>
  <c r="L10" i="10"/>
  <c r="L9" i="10"/>
  <c r="L8" i="10"/>
  <c r="L7" i="10"/>
  <c r="J5" i="3"/>
  <c r="G5" i="3"/>
  <c r="D5" i="3"/>
  <c r="A5" i="3"/>
  <c r="D28" i="3"/>
  <c r="C28" i="3"/>
  <c r="A28" i="3"/>
  <c r="N19" i="3"/>
  <c r="H28" i="3" s="1"/>
  <c r="M19" i="3"/>
  <c r="G28" i="3" s="1"/>
  <c r="L19" i="3"/>
  <c r="K19" i="3"/>
  <c r="J19" i="3"/>
  <c r="I19" i="3"/>
  <c r="H19" i="3"/>
  <c r="G19" i="3"/>
  <c r="F19" i="3"/>
  <c r="E19" i="3"/>
  <c r="D19" i="3"/>
  <c r="C19" i="3"/>
  <c r="B28" i="3" s="1"/>
  <c r="B19" i="3"/>
  <c r="A19" i="3"/>
  <c r="F28" i="3" s="1"/>
  <c r="K81" i="6"/>
  <c r="L80" i="6"/>
  <c r="L81" i="6" s="1"/>
  <c r="K80" i="6"/>
  <c r="I80" i="6"/>
  <c r="H80" i="6"/>
  <c r="G80" i="6"/>
  <c r="F80" i="6"/>
  <c r="E80" i="6"/>
  <c r="E81" i="6" s="1"/>
  <c r="D80" i="6"/>
  <c r="C80" i="6"/>
  <c r="B80" i="6"/>
  <c r="J80" i="6" s="1"/>
  <c r="K79" i="6"/>
  <c r="J79" i="6"/>
  <c r="I79" i="6"/>
  <c r="H79" i="6"/>
  <c r="H81" i="6" s="1"/>
  <c r="G79" i="6"/>
  <c r="G81" i="6" s="1"/>
  <c r="F79" i="6"/>
  <c r="E79" i="6"/>
  <c r="D79" i="6"/>
  <c r="D81" i="6" s="1"/>
  <c r="C79" i="6"/>
  <c r="C81" i="6" s="1"/>
  <c r="B79" i="6"/>
  <c r="B81" i="6" s="1"/>
  <c r="F54" i="6"/>
  <c r="J27" i="6"/>
  <c r="G77" i="6"/>
  <c r="E77" i="6"/>
  <c r="C77" i="6"/>
  <c r="L76" i="6"/>
  <c r="L77" i="6" s="1"/>
  <c r="K76" i="6"/>
  <c r="I76" i="6"/>
  <c r="I77" i="6" s="1"/>
  <c r="H76" i="6"/>
  <c r="H77" i="6" s="1"/>
  <c r="G76" i="6"/>
  <c r="F76" i="6"/>
  <c r="F77" i="6" s="1"/>
  <c r="E76" i="6"/>
  <c r="D76" i="6"/>
  <c r="D77" i="6" s="1"/>
  <c r="C76" i="6"/>
  <c r="B76" i="6"/>
  <c r="B77" i="6" s="1"/>
  <c r="K75" i="6"/>
  <c r="K77" i="6" s="1"/>
  <c r="J75" i="6"/>
  <c r="I75" i="6"/>
  <c r="H75" i="6"/>
  <c r="G75" i="6"/>
  <c r="F75" i="6"/>
  <c r="E75" i="6"/>
  <c r="D75" i="6"/>
  <c r="C75" i="6"/>
  <c r="B75" i="6"/>
  <c r="K73" i="6"/>
  <c r="G73" i="6"/>
  <c r="E73" i="6"/>
  <c r="C73" i="6"/>
  <c r="L72" i="6"/>
  <c r="L73" i="6" s="1"/>
  <c r="K72" i="6"/>
  <c r="I72" i="6"/>
  <c r="I73" i="6" s="1"/>
  <c r="H72" i="6"/>
  <c r="H73" i="6" s="1"/>
  <c r="G72" i="6"/>
  <c r="F72" i="6"/>
  <c r="F73" i="6" s="1"/>
  <c r="E72" i="6"/>
  <c r="D72" i="6"/>
  <c r="D73" i="6" s="1"/>
  <c r="C72" i="6"/>
  <c r="B72" i="6"/>
  <c r="B73" i="6" s="1"/>
  <c r="L71" i="6"/>
  <c r="K71" i="6"/>
  <c r="J71" i="6"/>
  <c r="I71" i="6"/>
  <c r="H71" i="6"/>
  <c r="G71" i="6"/>
  <c r="F71" i="6"/>
  <c r="E71" i="6"/>
  <c r="D71" i="6"/>
  <c r="C71" i="6"/>
  <c r="B71" i="6"/>
  <c r="K69" i="6"/>
  <c r="G69" i="6"/>
  <c r="E69" i="6"/>
  <c r="C69" i="6"/>
  <c r="L68" i="6"/>
  <c r="L69" i="6" s="1"/>
  <c r="K68" i="6"/>
  <c r="I68" i="6"/>
  <c r="I69" i="6" s="1"/>
  <c r="H68" i="6"/>
  <c r="H69" i="6" s="1"/>
  <c r="G68" i="6"/>
  <c r="F68" i="6"/>
  <c r="F69" i="6" s="1"/>
  <c r="E68" i="6"/>
  <c r="D68" i="6"/>
  <c r="D69" i="6" s="1"/>
  <c r="C68" i="6"/>
  <c r="B68" i="6"/>
  <c r="B69" i="6" s="1"/>
  <c r="L67" i="6"/>
  <c r="K67" i="6"/>
  <c r="J67" i="6"/>
  <c r="I67" i="6"/>
  <c r="H67" i="6"/>
  <c r="G67" i="6"/>
  <c r="F67" i="6"/>
  <c r="E67" i="6"/>
  <c r="D67" i="6"/>
  <c r="C67" i="6"/>
  <c r="B67" i="6"/>
  <c r="F65" i="6"/>
  <c r="D65" i="6"/>
  <c r="B65" i="6"/>
  <c r="L64" i="6"/>
  <c r="L65" i="6" s="1"/>
  <c r="K64" i="6"/>
  <c r="I64" i="6"/>
  <c r="I65" i="6" s="1"/>
  <c r="H64" i="6"/>
  <c r="H65" i="6" s="1"/>
  <c r="G64" i="6"/>
  <c r="G65" i="6" s="1"/>
  <c r="F64" i="6"/>
  <c r="E64" i="6"/>
  <c r="E65" i="6" s="1"/>
  <c r="D64" i="6"/>
  <c r="C64" i="6"/>
  <c r="C65" i="6" s="1"/>
  <c r="B64" i="6"/>
  <c r="J64" i="6" s="1"/>
  <c r="J65" i="6" s="1"/>
  <c r="L63" i="6"/>
  <c r="K63" i="6"/>
  <c r="K65" i="6" s="1"/>
  <c r="J63" i="6"/>
  <c r="I63" i="6"/>
  <c r="H63" i="6"/>
  <c r="G63" i="6"/>
  <c r="F63" i="6"/>
  <c r="E63" i="6"/>
  <c r="D63" i="6"/>
  <c r="C63" i="6"/>
  <c r="B63" i="6"/>
  <c r="F61" i="6"/>
  <c r="D61" i="6"/>
  <c r="B61" i="6"/>
  <c r="L60" i="6"/>
  <c r="L61" i="6" s="1"/>
  <c r="K60" i="6"/>
  <c r="K61" i="6" s="1"/>
  <c r="I60" i="6"/>
  <c r="I61" i="6" s="1"/>
  <c r="H60" i="6"/>
  <c r="H61" i="6" s="1"/>
  <c r="G60" i="6"/>
  <c r="G61" i="6" s="1"/>
  <c r="F60" i="6"/>
  <c r="E60" i="6"/>
  <c r="E61" i="6" s="1"/>
  <c r="D60" i="6"/>
  <c r="C60" i="6"/>
  <c r="C61" i="6" s="1"/>
  <c r="B60" i="6"/>
  <c r="J60" i="6" s="1"/>
  <c r="J61" i="6" s="1"/>
  <c r="K59" i="6"/>
  <c r="J59" i="6"/>
  <c r="I59" i="6"/>
  <c r="H59" i="6"/>
  <c r="G59" i="6"/>
  <c r="F59" i="6"/>
  <c r="E59" i="6"/>
  <c r="D59" i="6"/>
  <c r="C59" i="6"/>
  <c r="B59" i="6"/>
  <c r="F52" i="6"/>
  <c r="F50" i="6"/>
  <c r="F48" i="6"/>
  <c r="F46" i="6"/>
  <c r="F44" i="6"/>
  <c r="J26" i="6"/>
  <c r="J25" i="6"/>
  <c r="J24" i="6"/>
  <c r="J23" i="6"/>
  <c r="J22" i="6"/>
  <c r="J21" i="6"/>
  <c r="J20" i="6"/>
  <c r="J19" i="6"/>
  <c r="L13" i="1"/>
  <c r="M13" i="1"/>
  <c r="N13" i="1"/>
  <c r="O13" i="1"/>
  <c r="P13" i="1"/>
  <c r="P12" i="1"/>
  <c r="P11" i="1"/>
  <c r="P10" i="1"/>
  <c r="P9" i="1"/>
  <c r="P8" i="1"/>
  <c r="L12" i="1"/>
  <c r="M12" i="1"/>
  <c r="N12" i="1"/>
  <c r="O12" i="1"/>
  <c r="L11" i="1"/>
  <c r="M11" i="1"/>
  <c r="N11" i="1"/>
  <c r="O11" i="1"/>
  <c r="L10" i="1"/>
  <c r="M10" i="1"/>
  <c r="N10" i="1"/>
  <c r="O10" i="1"/>
  <c r="L9" i="1"/>
  <c r="M9" i="1"/>
  <c r="N9" i="1"/>
  <c r="O9" i="1"/>
  <c r="L8" i="1"/>
  <c r="M8" i="1"/>
  <c r="N8" i="1"/>
  <c r="O8" i="1"/>
  <c r="C25" i="3"/>
  <c r="A18" i="3"/>
  <c r="F27" i="3" s="1"/>
  <c r="B18" i="3"/>
  <c r="C18" i="3"/>
  <c r="B27" i="3" s="1"/>
  <c r="D18" i="3"/>
  <c r="C27" i="3" s="1"/>
  <c r="E18" i="3"/>
  <c r="F18" i="3"/>
  <c r="G18" i="3"/>
  <c r="H18" i="3"/>
  <c r="I18" i="3"/>
  <c r="J18" i="3"/>
  <c r="K18" i="3"/>
  <c r="L18" i="3"/>
  <c r="M18" i="3"/>
  <c r="G27" i="3" s="1"/>
  <c r="N18" i="3"/>
  <c r="D27" i="3" s="1"/>
  <c r="A17" i="3"/>
  <c r="A26" i="3" s="1"/>
  <c r="B17" i="3"/>
  <c r="C17" i="3"/>
  <c r="B26" i="3" s="1"/>
  <c r="D17" i="3"/>
  <c r="C26" i="3" s="1"/>
  <c r="E17" i="3"/>
  <c r="F17" i="3"/>
  <c r="G17" i="3"/>
  <c r="H17" i="3"/>
  <c r="I17" i="3"/>
  <c r="J17" i="3"/>
  <c r="K17" i="3"/>
  <c r="L17" i="3"/>
  <c r="M17" i="3"/>
  <c r="G26" i="3" s="1"/>
  <c r="N17" i="3"/>
  <c r="H26" i="3" s="1"/>
  <c r="A16" i="3"/>
  <c r="A25" i="3" s="1"/>
  <c r="B16" i="3"/>
  <c r="C16" i="3"/>
  <c r="B25" i="3" s="1"/>
  <c r="D16" i="3"/>
  <c r="E16" i="3"/>
  <c r="F16" i="3"/>
  <c r="G16" i="3"/>
  <c r="H16" i="3"/>
  <c r="I16" i="3"/>
  <c r="J16" i="3"/>
  <c r="K16" i="3"/>
  <c r="K27" i="3" s="1"/>
  <c r="L16" i="3"/>
  <c r="M16" i="3"/>
  <c r="G25" i="3" s="1"/>
  <c r="N16" i="3"/>
  <c r="D25" i="3" s="1"/>
  <c r="A15" i="3"/>
  <c r="F24" i="3" s="1"/>
  <c r="B15" i="3"/>
  <c r="C15" i="3"/>
  <c r="B24" i="3" s="1"/>
  <c r="D15" i="3"/>
  <c r="C24" i="3" s="1"/>
  <c r="E15" i="3"/>
  <c r="F15" i="3"/>
  <c r="G15" i="3"/>
  <c r="H15" i="3"/>
  <c r="I15" i="3"/>
  <c r="J15" i="3"/>
  <c r="K15" i="3"/>
  <c r="L15" i="3"/>
  <c r="M15" i="3"/>
  <c r="G24" i="3" s="1"/>
  <c r="N15" i="3"/>
  <c r="H24" i="3" s="1"/>
  <c r="A14" i="3"/>
  <c r="A23" i="3" s="1"/>
  <c r="B14" i="3"/>
  <c r="C14" i="3"/>
  <c r="B23" i="3" s="1"/>
  <c r="D14" i="3"/>
  <c r="C23" i="3" s="1"/>
  <c r="E14" i="3"/>
  <c r="F14" i="3"/>
  <c r="G14" i="3"/>
  <c r="K23" i="3" s="1"/>
  <c r="H14" i="3"/>
  <c r="K24" i="3" s="1"/>
  <c r="I14" i="3"/>
  <c r="K25" i="3" s="1"/>
  <c r="J14" i="3"/>
  <c r="K26" i="3" s="1"/>
  <c r="K14" i="3"/>
  <c r="L14" i="3"/>
  <c r="K28" i="3" s="1"/>
  <c r="M14" i="3"/>
  <c r="G23" i="3" s="1"/>
  <c r="N14" i="3"/>
  <c r="H23" i="3" s="1"/>
  <c r="I81" i="6" l="1"/>
  <c r="D24" i="3"/>
  <c r="J68" i="6"/>
  <c r="J69" i="6" s="1"/>
  <c r="J72" i="6"/>
  <c r="J73" i="6" s="1"/>
  <c r="J76" i="6"/>
  <c r="J77" i="6" s="1"/>
  <c r="F26" i="3"/>
  <c r="J81" i="6"/>
  <c r="F25" i="3"/>
  <c r="F81" i="6"/>
  <c r="H27" i="3"/>
  <c r="H25" i="3"/>
  <c r="F23" i="3"/>
  <c r="A27" i="3"/>
  <c r="D26" i="3"/>
  <c r="A24" i="3"/>
  <c r="D23" i="3"/>
</calcChain>
</file>

<file path=xl/sharedStrings.xml><?xml version="1.0" encoding="utf-8"?>
<sst xmlns="http://schemas.openxmlformats.org/spreadsheetml/2006/main" count="391" uniqueCount="222">
  <si>
    <t>Model Portfolio Metrics</t>
  </si>
  <si>
    <t>Risk-profiled model portfolios: strategic asset allocation, fees, return target and volatility</t>
  </si>
  <si>
    <t>Legend:</t>
  </si>
  <si>
    <t>Blue text = hardcoded input (edit as needed)</t>
  </si>
  <si>
    <t>Black text = formula (do not overwrite)</t>
  </si>
  <si>
    <t>Yellow fill = check / fill-in cell</t>
  </si>
  <si>
    <t>Risk Category</t>
  </si>
  <si>
    <t>Model Name</t>
  </si>
  <si>
    <t>SA Equity</t>
  </si>
  <si>
    <t>Global Equity</t>
  </si>
  <si>
    <t>SA Bonds</t>
  </si>
  <si>
    <t>Global Bonds</t>
  </si>
  <si>
    <t>SA Property</t>
  </si>
  <si>
    <t>Global Property</t>
  </si>
  <si>
    <t>SA Cash</t>
  </si>
  <si>
    <t>Global Cash</t>
  </si>
  <si>
    <t>Total Allocation</t>
  </si>
  <si>
    <t>Fee (TER, % p.a.)</t>
  </si>
  <si>
    <t>CPI+ Return Target</t>
  </si>
  <si>
    <t>Volatility (Annualised Std Dev)</t>
  </si>
  <si>
    <t>Conservative</t>
  </si>
  <si>
    <t>DNA Income Portfolio</t>
  </si>
  <si>
    <t>Moderate Conservative</t>
  </si>
  <si>
    <t>DNA Moderate Conservative Portfolio</t>
  </si>
  <si>
    <t>Moderate</t>
  </si>
  <si>
    <t>DNA Moderate Portfolio</t>
  </si>
  <si>
    <t>Moderate Aggressive</t>
  </si>
  <si>
    <t>DNA Moderate Aggressive Portfolio</t>
  </si>
  <si>
    <t>Aggressive</t>
  </si>
  <si>
    <t>Notes:</t>
  </si>
  <si>
    <t>- All figures below are illustrative placeholders provided as a starting template — replace blue/yellow cells with your actual model portfolio data.</t>
  </si>
  <si>
    <t>- Model Name (yellow fill): enter the actual fund/model name for each risk category.</t>
  </si>
  <si>
    <t>- Asset allocation: strategic (long-term) weights per model; each row should sum to 100% (see conditional check in column L).</t>
  </si>
  <si>
    <t>- Fee (TER): total expense ratio, % per annum, illustrative only.</t>
  </si>
  <si>
    <t>- CPI+ Return Target: long-term real return objective above South African CPI inflation, illustrative only.</t>
  </si>
  <si>
    <t>Model Portfolio Insights</t>
  </si>
  <si>
    <t>Portfolios</t>
  </si>
  <si>
    <t>Avg TER</t>
  </si>
  <si>
    <t>fee p.a.</t>
  </si>
  <si>
    <t>Target Range</t>
  </si>
  <si>
    <t>CPI+ spread</t>
  </si>
  <si>
    <t>Volatility Range</t>
  </si>
  <si>
    <t>STORY IN BRIEF</t>
  </si>
  <si>
    <t>Growth Assets</t>
  </si>
  <si>
    <t>Income Assets</t>
  </si>
  <si>
    <t>Local Assets</t>
  </si>
  <si>
    <t>Global Assets</t>
  </si>
  <si>
    <t>Property</t>
  </si>
  <si>
    <t>Cash</t>
  </si>
  <si>
    <t>TER</t>
  </si>
  <si>
    <t>Volatility</t>
  </si>
  <si>
    <t>Asset Class</t>
  </si>
  <si>
    <t>Average Allocation</t>
  </si>
  <si>
    <t>KEY FINDINGS</t>
  </si>
  <si>
    <t>Risk ladder is coherent</t>
  </si>
  <si>
    <t>SA Assets</t>
  </si>
  <si>
    <t>Conservative Assets</t>
  </si>
  <si>
    <t>DNA Agressive Equity Portfolio</t>
  </si>
  <si>
    <t>DNA Global Aggressive Portfolio</t>
  </si>
  <si>
    <t>Allocation check: Total Allocation in column P should equal 100.0% for every model.</t>
  </si>
  <si>
    <t>DNA Model Portfolios - Underlying Fund Factsheet Data</t>
  </si>
  <si>
    <t>TABLE 1  -  Fund metrics (per fact sheet)</t>
  </si>
  <si>
    <t>Underlying Fund</t>
  </si>
  <si>
    <t>Class</t>
  </si>
  <si>
    <t>As-at</t>
  </si>
  <si>
    <t>ASISA Category</t>
  </si>
  <si>
    <t>TIC</t>
  </si>
  <si>
    <t>Volatility (ann.)</t>
  </si>
  <si>
    <t>1yr</t>
  </si>
  <si>
    <t>3yr</t>
  </si>
  <si>
    <t>5yr</t>
  </si>
  <si>
    <t>Source PDF</t>
  </si>
  <si>
    <t>DNA Income</t>
  </si>
  <si>
    <t>Coronation Strategic Income</t>
  </si>
  <si>
    <t>A</t>
  </si>
  <si>
    <t>SA Multi-Asset - Income</t>
  </si>
  <si>
    <t>2026-June-Strategic-Income-Comprehensive_CSIF.pdf</t>
  </si>
  <si>
    <t>Nedgroup Core Income</t>
  </si>
  <si>
    <t>C</t>
  </si>
  <si>
    <t>SA Interest Bearing - Short Term</t>
  </si>
  <si>
    <t>Nedgroup Investments Core Income Fund C.pdf</t>
  </si>
  <si>
    <t>DNA Mod Con</t>
  </si>
  <si>
    <t>M&amp;G Inflation Plus</t>
  </si>
  <si>
    <t>SA Multi-Asset - Low Equity</t>
  </si>
  <si>
    <t>mandg-inflation-plus-fund June26.pdf</t>
  </si>
  <si>
    <t>Nedgroup Core Guarded</t>
  </si>
  <si>
    <t>B</t>
  </si>
  <si>
    <t>Nedgroup Investments Core Guarded Fund B.pdf</t>
  </si>
  <si>
    <t>M&amp;G Balanced</t>
  </si>
  <si>
    <t>SA Multi-Asset - High Equity</t>
  </si>
  <si>
    <t>mandg-balanced-fund JUne26.pdf</t>
  </si>
  <si>
    <t>Nedgroup Core Diversified</t>
  </si>
  <si>
    <t>Nedgroup Investments Core Diversified Fund B June26.pdf</t>
  </si>
  <si>
    <t>DNA Moderate Aggressive</t>
  </si>
  <si>
    <t>DNA Aggressive Equity</t>
  </si>
  <si>
    <t>DNA Global Aggressive</t>
  </si>
  <si>
    <t>Total</t>
  </si>
  <si>
    <t>TABLE 3  -  Top holdings (per fact sheet)</t>
  </si>
  <si>
    <t>Top 5 holdings / credit exposures</t>
  </si>
  <si>
    <t>RSA 45.1%, Standard Bank 21.2%, Firstrand 9.9%, Nedbank 7.2%, ABSA 7.1% (top credit exposure)</t>
  </si>
  <si>
    <t>Nedbank 24.8%, Standard Bank 17.4%, ABSA 17.2%, Firstrand 16.4%, BNP Paribas 9.5%</t>
  </si>
  <si>
    <t>RSA R2044 2.9%, R2032 2.6%, R2035 2.5%, R2040 2.1%, R2037 2.0%</t>
  </si>
  <si>
    <t>Naspers/Prosus 5.9%, MTN 3.2%, Standard Bank 3.1%, AngloGold 3.0%, Gold Fields 2.8%</t>
  </si>
  <si>
    <t>Naspers 3.1%, Gold Fields 2.7%, AngloGold 2.5%, Firstrand 2.3%, Standard Bank 2.0%</t>
  </si>
  <si>
    <t>Notes &amp; data-quality flags</t>
  </si>
  <si>
    <t>TABLE 4  -  Model blend weights (blue = entered; yellow = to do)</t>
  </si>
  <si>
    <t>Model</t>
  </si>
  <si>
    <t>Weight</t>
  </si>
  <si>
    <t>TABLE 5  -  Blended model from weights vs current Model Portfolios (live formulas)</t>
  </si>
  <si>
    <t>Blended TER</t>
  </si>
  <si>
    <t>DNA Moderate</t>
  </si>
  <si>
    <t>Fee-class TER</t>
  </si>
  <si>
    <t>Wt check</t>
  </si>
  <si>
    <t>B2</t>
  </si>
  <si>
    <t>Blended Vol (fact sheets)</t>
  </si>
  <si>
    <t>Metrics extracted from fund MDDs/fact sheets in \Blended Portfolio metrics\ folders. Rebuilt 2026-07-22. Dates: M&amp;G/Coronation/Prescient = 30 Jun 2026; Nedgroup/Satrix = 31 May 2026.</t>
  </si>
  <si>
    <t>TABLE 2  -  Asset allocation mapped to the 8 model asset classes (% of fund)</t>
  </si>
  <si>
    <t>Mapping: SA/Global ILBs &amp; credit-linked notes -&gt; Bonds; Cash &amp; Money Market/NCDs -&gt; Cash; listed property -&gt; Property. Coronation look-through; Core Income = 100% SA Cash; Prescient = SA equity tracker; Satrix = global equity tracker.</t>
  </si>
  <si>
    <t>Fund</t>
  </si>
  <si>
    <t>30 Jun 2026</t>
  </si>
  <si>
    <t>31 May 2026</t>
  </si>
  <si>
    <t>Prescient Core Equity</t>
  </si>
  <si>
    <t>A2</t>
  </si>
  <si>
    <t>SA Equity - General</t>
  </si>
  <si>
    <t>prescient-core-equity-fund-a2-june-2026-pceqtfa2.pdf</t>
  </si>
  <si>
    <t>Satrix MSCI World</t>
  </si>
  <si>
    <t>A1</t>
  </si>
  <si>
    <t>Global Equity - General</t>
  </si>
  <si>
    <t>Satrix MSCI World Index Fund 31 May 2026 Class A1.pdf</t>
  </si>
  <si>
    <t>RSA R2044 4.4%, R2040 4.3%, R2035 3.8%, ILB I2046 3.8%, R2037 3.7%</t>
  </si>
  <si>
    <t>Naspers 7.5%, Firstrand 6.1%, Gold Fields 6.1%, AngloGold 5.4%, Capitec 5.3%</t>
  </si>
  <si>
    <t>Nvidia 5.2%, Apple 4.9%, Microsoft 3.4%, Amazon 2.8%, Alphabet 2.3%</t>
  </si>
  <si>
    <t>DNA Income (70/30)</t>
  </si>
  <si>
    <t xml:space="preserve">   current Model Portfolios row 8</t>
  </si>
  <si>
    <t xml:space="preserve">   difference (blend - current)</t>
  </si>
  <si>
    <t>DNA Mod Con (60/40)</t>
  </si>
  <si>
    <t xml:space="preserve">   current Model Portfolios row 9</t>
  </si>
  <si>
    <t>DNA Moderate (75/25)</t>
  </si>
  <si>
    <t xml:space="preserve">   current Model Portfolios row 10</t>
  </si>
  <si>
    <t>DNA Moderate Aggressive (50/50)</t>
  </si>
  <si>
    <t xml:space="preserve">   current Model Portfolios row 11</t>
  </si>
  <si>
    <t>DNA Aggressive Equity (50/50)</t>
  </si>
  <si>
    <t xml:space="preserve">   current Model Portfolios row 12</t>
  </si>
  <si>
    <t>Nedgroup Core Global Feeder Fund</t>
  </si>
  <si>
    <t>Global Multi-Asset - High Equity</t>
  </si>
  <si>
    <t>Nedgroup Investments Core Global Feeder Fund A.pdf</t>
  </si>
  <si>
    <t>Nvidia 3.4%, Apple 3.1%, Microsoft 1.9%, Amazon 1.7%, Alphabet 1.4% (global equity via BlackRock)</t>
  </si>
  <si>
    <t>DNA Global Aggressive (50/50)</t>
  </si>
  <si>
    <t xml:space="preserve">   current Model Portfolios row 13</t>
  </si>
  <si>
    <t>1. Volatility basis differs and is NOT comparable: M&amp;G = annualised monthly; Nedgroup SA = 5-yr; Nedgroup Core Global = 5-yr (11.4%); Coronation = since-inception; Prescient = since-inception (15.04%, runs high); Satrix = not disclosed.</t>
  </si>
  <si>
    <t>2. Nedgroup Core Income and Satrix MSCI World disclose no std dev - so Income, Aggressive Equity and Global Aggressive blended vols cannot be computed from fact sheets.</t>
  </si>
  <si>
    <t>3. TER: Table 4 holds actual fee-class TERs. Table 5 Blended TER uses fee-class fees for Mod Con / Mod Agg / Agg Eq / Global Agg; retail-class reference for Income &amp; Moderate (fee-class not all supplied).</t>
  </si>
  <si>
    <t>4. Models do not map 1:1 to fact sheet folders: Coronation Strategic Income is used in Income AND Moderate; M&amp;G Balanced in Mod Aggressive; Satrix MSCI World in Agg Equity AND Global Aggressive.</t>
  </si>
  <si>
    <t>5. VOLATILITY CAVEAT: weighted-avg of fact sheet vols only reliable for low-equity blends (Mod Con 6.14% matched handwritten). Overstates for higher equity and is not computable where a fund discloses no std dev. Use handwritten model vol numbers 170726.jpg for Mod Agg and up.</t>
  </si>
  <si>
    <t>7. Blend weights (entered 2026-07-21/22): Income 70/30 (Coronation/Core Income); Mod Con 60/40 (M&amp;G Infl Plus B/Core Guarded B2); Moderate 75/25 (Core Div B2/Coronation); Mod Agg 50/50 (Core Div B2/M&amp;G Balanced B); Agg Eq 50/50 (Prescient Core Equity 0.38%/Satrix MSCI World B2 0.36%); Global Agg 50/50 (Nedgroup Core Global A 0.51%/Satrix MSCI World B2 0.36%).</t>
  </si>
  <si>
    <t>8. ALL 6 MODELS now defined and reconcile with their Model Portfolios rows on allocation and TER.</t>
  </si>
  <si>
    <t>6. TER flag: Mod Con blend 0.71% vs Model Portfolios row 0.66% (small residual). All other models reconcile. NB M&amp;G Inflation Plus fee = 0.96% B-class TIC (per instruction; fact sheet B = TER 0.89% / TIC 0.95%); Satrix fee-class 0.36% (B2) is below the A1 retail TER 0.69%.</t>
  </si>
  <si>
    <t>model portfolios</t>
  </si>
  <si>
    <t>Analysis of strategic asset allocation, fee, CPI+ target and annualised volatility across the six model portfolios.</t>
  </si>
  <si>
    <t>Growth assets climb from 3.0% (DNA Income) to 99.0% (DNA Aggressive Equity), while income assets fall from 97.0% to 1.0%.</t>
  </si>
  <si>
    <t>Two aggressive variants differ by geography</t>
  </si>
  <si>
    <t>DNA Aggressive Equity is ~96% equity split evenly SA/global; DNA Global Aggressive is ~85% equity but almost entirely global (84% global equity).</t>
  </si>
  <si>
    <t>Fees are not aligned with risk</t>
  </si>
  <si>
    <t>Lowest TER is DNA Aggressive Equity at 0.37%; highest is DNA Moderate Aggressive at 0.69%. Average across the six models is 0.50%.</t>
  </si>
  <si>
    <t>Volatility peaks at the global model</t>
  </si>
  <si>
    <t>Allocations are internally consistent</t>
  </si>
  <si>
    <t>All six portfolios sum to exactly 100.0% in the source allocation check column.</t>
  </si>
  <si>
    <t>Vol period</t>
  </si>
  <si>
    <t>7yr</t>
  </si>
  <si>
    <t>- Volatility: 7-year annualised standard deviation of the blended model (source: DNA fund-blend vol working, 17 Jul 2026). Period noted in the 'Vol period' column.</t>
  </si>
  <si>
    <t>Volatility (7yr)</t>
  </si>
  <si>
    <t>annualised std dev (7yr)</t>
  </si>
  <si>
    <t>The worksheet covers six model portfolios across five risk categories, from the income-heavy DNA Income (Conservative) to two equity-heavy Aggressive variants. Growth assets rise from 3% to 99% along the ladder while income assets fall from 97% to 1%. The two Aggressive models differ by geography: DNA Aggressive Equity is ~96% equity split evenly SA/global, while DNA Global Aggressive is ~85% equity but almost entirely global. TERs range 0.37%-0.69% (avg 0.50%) and are not perfectly aligned with risk - the lowest-fee model is the SA-equity Aggressive. Volatility (7-year basis) rises from 2.1% to 12.6%, peaking at the fully-global Aggressive model. Every model totals 100%.</t>
  </si>
  <si>
    <t>Annualised volatility (7-year basis) rises from 2.1% (Income) to 12.6% (Global Aggressive) - the fully-global model, higher than the SA-equity Aggressive at 11.8%.</t>
  </si>
  <si>
    <t>Monarch Integrate Model Portfolios</t>
  </si>
  <si>
    <t>Orange text = estimated (not disclosed by Monarch)</t>
  </si>
  <si>
    <t>Alternatives</t>
  </si>
  <si>
    <t>Volatility (5yr, actual)</t>
  </si>
  <si>
    <t>Reg 28</t>
  </si>
  <si>
    <t>Monarch Integrate Income Portfolio</t>
  </si>
  <si>
    <t>Moderately Conservative</t>
  </si>
  <si>
    <t>Monarch Integrate Moderate Conservative Portfolio</t>
  </si>
  <si>
    <t>Monarch Integrate Moderate Portfolio</t>
  </si>
  <si>
    <t>Moderately Aggressive</t>
  </si>
  <si>
    <t>Monarch Integrate Moderate Aggressive Portfolio</t>
  </si>
  <si>
    <t>Monarch Integrate Equity Portfolio</t>
  </si>
  <si>
    <t>Income</t>
  </si>
  <si>
    <t>Mod Con</t>
  </si>
  <si>
    <t>ZAR Cash</t>
  </si>
  <si>
    <t>USD Cash</t>
  </si>
  <si>
    <t>Mod Aggressive</t>
  </si>
  <si>
    <t>Equity</t>
  </si>
  <si>
    <t>Cogence Global Equity Prescient FOF</t>
  </si>
  <si>
    <t>Yes</t>
  </si>
  <si>
    <t>No</t>
  </si>
  <si>
    <t>Second model-portfolio range, parallel to the DNA range. Source: Monarch Integrate fact sheets (Cogence/Discovery, Morningstar Direct) + underlying-fund MDDs, all dated 30 Jun 2026. Compiled 2026-07-23.</t>
  </si>
  <si>
    <t>Blue text = disclosed input</t>
  </si>
  <si>
    <t>DFM Fee</t>
  </si>
  <si>
    <t>Total Effective Cost</t>
  </si>
  <si>
    <t>Fund Vol (3yr unless noted)</t>
  </si>
  <si>
    <t>Discovery Diversified Income (A1)</t>
  </si>
  <si>
    <t>Discovery Strategic Bond (A)</t>
  </si>
  <si>
    <t>Ninety One SA Equity (G)</t>
  </si>
  <si>
    <t>Ninety One Active Quants (H)</t>
  </si>
  <si>
    <t>Discovery Flexible Property (A)</t>
  </si>
  <si>
    <t>Discovery Equity Fund (A)</t>
  </si>
  <si>
    <t>1. Volatility basis: Monarch model-level vols (col Q) are 5-year annualised std dev of the ACTUAL portfolio - real realised volatility, and also the MAXIMUM available history (common inception ~mid-2021). Underlying-fund vols in the Holdings table are on DIFFERENT bases per manager (Discovery MDDs = 3yr annualised; Ninety One factsheets = appears since-inception/longer window, 22.0-22.6%; Cogence = since strategy-change or launch, 1.5-4yr) - NOT directly comparable to each other or to the model-level 5yr figures. Shown for reference/QA only, not blended into a portfolio vol.</t>
  </si>
  <si>
    <t>2. CPI+ Return Target for Income and Equity is EXTRAPOLATED, not Monarch-stated (see notes above row 15).</t>
  </si>
  <si>
    <t>3. Regulation 28: Monarch Integrate Equity Portfolio is NOT Reg 28 compliant (100% growth assets) - the only non-compliant model across either range.</t>
  </si>
  <si>
    <t>4. Risk category count differs from DNA: Monarch has 5 categories (no separate SA/Global aggressive split); DNA has 6 models across 5 categories.</t>
  </si>
  <si>
    <t>Underlying Blended TIC</t>
  </si>
  <si>
    <t>TIC methodology: Underlying Blended TIC = each underlying fund's own Total Investment Charge (TIC = TER + transaction costs, from its MDD, see Holdings table below) weighted by its portfolio holding %. DFM Fee is Cogence's separate overlay fee (0.30% for Income/Equity; 0% for the other three - "no additional discretionary fund management fee charged"). Total Effective Cost = DFM Fee + Underlying Blended TIC. Small ZAR/USD cash slivers assumed 0% fee. FLAG: Cogence Global Growth (USD) fact sheet discloses only TER (1.43%), no TC/TIC line - its TER was used as a TIC proxy (affects Mod Con/Moderate/Mod Aggressive, where it is a 30-37% holding).</t>
  </si>
  <si>
    <t>Portfolio holdings, with underlying-fund TIC and volatility (from each fund's own MDD, 30 Jun 2026)</t>
  </si>
  <si>
    <t>Fund TIC</t>
  </si>
  <si>
    <t>Cogence Global Growth (USD)*</t>
  </si>
  <si>
    <t>5. TER/TIC resolved 2026-07-23: underlying-fund MDDs supplied for all 8 funds; blend uses TIC (TER + transaction costs) per user instruction. Total Effective Cost ranges 1.30% (Mod Con) to 2.49% (Equity) - meaningfully higher than DNA range costs, reflecting Monarch's use of actively-managed underlying funds vs DNA's lower-cost/index building blocks.</t>
  </si>
  <si>
    <t>6. Cogence Global Growth (USD) fact sheet does not disclose TC/TIC, only TER (1.43%) - marked * in the Holdings table. TER was used as a TIC proxy for this fund only; likely understates its true TIC slightly, so Mod Con/Moderate/Mod Aggressive Total Effective Cost may be marginally understated.</t>
  </si>
  <si>
    <t>Allocation check: Total Allocation in column L should equal 100.0% for every model. Total Effective Cost (col O) = DFM Fee (col M) + Underlying Blended TIC (col N) for Income and Equity. For Mod Con / Moderate / Mod Aggressive, Total Effective Cost = the TIC of the actual Cogence Discovery Dynamic Asset Optimiser Fund of Funds each model replicates (Cautious/Moderate/Balanced respectively) - confirmed via each fund's own MDD, see note 7. NOT the DFM+TIC blend of the individual building-block funds (which computed to 1.30%/1.40%/1.47%).</t>
  </si>
  <si>
    <t>7. Total Effective Cost for Mod Con / Moderate / Mod Aggressive = the TIC of the actual retail Cogence Discovery Dynamic Asset Optimiser Fund of Funds each Monarch model replicates (per each portfolio's stated objective; holdings match exactly). CONFIRMED via each fund's own MDD (30 Jun 2026): Cautious DAO FoF (Mod Con) TER 1.73%/TC 0.07%/TIC 1.80%; Moderate DAO FoF (Moderate) TER 1.83%/TC 0.13%/TIC 1.96%; Balanced DAO FoF (Mod Aggressive) TER 1.96%/TC 0.19%/TIC 2.15%. Corrected 2026-07-23: figures step up with risk (1.80/1.96/2.15%), NOT uniform - an earlier uniform 2.15% entry for all three was incorrect for Mod Con and Moderate and has been replaced with the verified per-model figures.</t>
  </si>
  <si>
    <t>Return target basis (STANDARDIZED 2026-07-24):</t>
  </si>
  <si>
    <t>CPI+ Return Target is now driven by RISK CATEGORY, not by each range's own funds - the DNA range's CPI+ targets are the house standard and are mirrored onto the matching Monarch risk category, so a DNA model and a Monarch model in the same risk category always show the same return target and (at a given inflation assumption) the same nominal expected return in the simulator.</t>
  </si>
  <si>
    <t>Mapping: Conservative 1.0% | Moderately Conservative 2.5% | Moderate 3.5% | Moderately Aggressive 5.0% | Aggressive 6.5% (= DNA Aggressive Equity; DNA's other Aggressive model, Global Aggressive, targets 7.0% but Monarch has only one Aggressive model so Aggressive Equity was used - see chat decision 2026-07-24). This SUPERSEDES the fund-of-funds' own stated CPI+ bands (Mod Con 1-3%, Moderate 3-5%, Mod Aggressive 5-7%) and the earlier extrapolated Income/Equity figures used before 2026-07-24.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</si>
</sst>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CPI+&quot;0.0%"/>
  </numFmts>
  <fonts count="3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8"/>
      <color rgb="FFFFFFFF"/>
      <name val="Arial"/>
    </font>
    <font>
      <b/>
      <sz val="10"/>
      <color rgb="FF1F3864"/>
      <name val="Arial"/>
    </font>
    <font>
      <i/>
      <sz val="10"/>
      <color rgb="FF595959"/>
      <name val="Arial"/>
    </font>
    <font>
      <i/>
      <sz val="10"/>
      <color rgb="FF666666"/>
      <name val="Arial"/>
    </font>
    <font>
      <b/>
      <sz val="10"/>
      <name val="Arial"/>
    </font>
    <font>
      <sz val="10"/>
      <color rgb="FF1F4E79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rgb="FF1F4E79"/>
      <name val="Arial"/>
    </font>
    <font>
      <b/>
      <i/>
      <sz val="10"/>
      <color rgb="FF7F6000"/>
      <name val="Arial"/>
    </font>
    <font>
      <i/>
      <sz val="10"/>
      <name val="Arial"/>
    </font>
    <font>
      <i/>
      <sz val="10"/>
      <color rgb="FF40404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FF"/>
      <name val="Arial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10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326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/>
      <right style="thin">
        <color rgb="FFD9EAF7"/>
      </right>
      <top/>
      <bottom style="thin">
        <color rgb="FFD9EAF7"/>
      </bottom>
      <diagonal/>
    </border>
    <border>
      <left style="thin">
        <color rgb="FFD9EAF7"/>
      </left>
      <right style="thin">
        <color rgb="FFD9EAF7"/>
      </right>
      <top/>
      <bottom style="thin">
        <color rgb="FFD9EAF7"/>
      </bottom>
      <diagonal/>
    </border>
    <border>
      <left style="thin">
        <color rgb="FFD9EAF7"/>
      </left>
      <right/>
      <top/>
      <bottom style="thin">
        <color rgb="FFD9EAF7"/>
      </bottom>
      <diagonal/>
    </border>
    <border>
      <left/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D9EAF7"/>
      </left>
      <right/>
      <top style="thin">
        <color rgb="FFD9EAF7"/>
      </top>
      <bottom style="thin">
        <color rgb="FFD9EAF7"/>
      </bottom>
      <diagonal/>
    </border>
    <border>
      <left/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0" fontId="3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2" fillId="0" borderId="3" xfId="0" applyFont="1" applyBorder="1"/>
    <xf numFmtId="0" fontId="0" fillId="0" borderId="3" xfId="0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3" fillId="8" borderId="4" xfId="0" applyFont="1" applyFill="1" applyBorder="1"/>
    <xf numFmtId="0" fontId="14" fillId="8" borderId="4" xfId="0" applyFont="1" applyFill="1" applyBorder="1"/>
    <xf numFmtId="0" fontId="15" fillId="8" borderId="4" xfId="0" applyFont="1" applyFill="1" applyBorder="1"/>
    <xf numFmtId="0" fontId="16" fillId="8" borderId="4" xfId="0" applyFont="1" applyFill="1" applyBorder="1"/>
    <xf numFmtId="0" fontId="17" fillId="9" borderId="4" xfId="0" applyFont="1" applyFill="1" applyBorder="1"/>
    <xf numFmtId="0" fontId="18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164" fontId="14" fillId="0" borderId="12" xfId="0" applyNumberFormat="1" applyFont="1" applyBorder="1" applyAlignment="1">
      <alignment horizontal="right"/>
    </xf>
    <xf numFmtId="164" fontId="16" fillId="4" borderId="12" xfId="0" applyNumberFormat="1" applyFont="1" applyFill="1" applyBorder="1" applyAlignment="1">
      <alignment horizontal="right"/>
    </xf>
    <xf numFmtId="10" fontId="14" fillId="0" borderId="12" xfId="0" applyNumberFormat="1" applyFont="1" applyBorder="1" applyAlignment="1">
      <alignment horizontal="right"/>
    </xf>
    <xf numFmtId="165" fontId="14" fillId="0" borderId="12" xfId="0" applyNumberFormat="1" applyFont="1" applyBorder="1" applyAlignment="1">
      <alignment horizontal="right"/>
    </xf>
    <xf numFmtId="164" fontId="14" fillId="0" borderId="13" xfId="0" applyNumberFormat="1" applyFont="1" applyBorder="1" applyAlignment="1">
      <alignment horizontal="right"/>
    </xf>
    <xf numFmtId="0" fontId="18" fillId="0" borderId="1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164" fontId="16" fillId="4" borderId="15" xfId="0" applyNumberFormat="1" applyFont="1" applyFill="1" applyBorder="1" applyAlignment="1">
      <alignment horizontal="right"/>
    </xf>
    <xf numFmtId="0" fontId="15" fillId="0" borderId="0" xfId="0" applyFont="1"/>
    <xf numFmtId="164" fontId="16" fillId="6" borderId="12" xfId="0" applyNumberFormat="1" applyFont="1" applyFill="1" applyBorder="1" applyAlignment="1">
      <alignment horizontal="right"/>
    </xf>
    <xf numFmtId="164" fontId="16" fillId="6" borderId="15" xfId="0" applyNumberFormat="1" applyFont="1" applyFill="1" applyBorder="1" applyAlignment="1">
      <alignment horizontal="right"/>
    </xf>
    <xf numFmtId="0" fontId="22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7" fillId="11" borderId="0" xfId="0" applyFont="1" applyFill="1" applyAlignment="1">
      <alignment horizontal="center" vertical="top" wrapText="1"/>
    </xf>
    <xf numFmtId="10" fontId="22" fillId="0" borderId="0" xfId="0" applyNumberFormat="1" applyFont="1" applyAlignment="1">
      <alignment vertical="top"/>
    </xf>
    <xf numFmtId="164" fontId="22" fillId="0" borderId="0" xfId="0" applyNumberFormat="1" applyFont="1" applyAlignment="1">
      <alignment vertical="top"/>
    </xf>
    <xf numFmtId="164" fontId="23" fillId="0" borderId="0" xfId="0" applyNumberFormat="1" applyFont="1" applyAlignment="1">
      <alignment vertical="top"/>
    </xf>
    <xf numFmtId="0" fontId="22" fillId="8" borderId="0" xfId="0" applyFont="1" applyFill="1" applyAlignment="1">
      <alignment vertical="top"/>
    </xf>
    <xf numFmtId="10" fontId="22" fillId="8" borderId="0" xfId="0" applyNumberFormat="1" applyFont="1" applyFill="1" applyAlignment="1">
      <alignment vertical="top"/>
    </xf>
    <xf numFmtId="49" fontId="22" fillId="0" borderId="0" xfId="0" applyNumberFormat="1" applyFont="1" applyAlignment="1">
      <alignment vertical="top"/>
    </xf>
    <xf numFmtId="0" fontId="28" fillId="0" borderId="0" xfId="0" applyFont="1" applyAlignment="1">
      <alignment vertical="top"/>
    </xf>
    <xf numFmtId="164" fontId="29" fillId="0" borderId="0" xfId="0" applyNumberFormat="1" applyFont="1" applyAlignment="1">
      <alignment vertical="top"/>
    </xf>
    <xf numFmtId="10" fontId="29" fillId="0" borderId="0" xfId="0" applyNumberFormat="1" applyFont="1" applyAlignment="1">
      <alignment vertical="top"/>
    </xf>
    <xf numFmtId="164" fontId="22" fillId="8" borderId="0" xfId="0" applyNumberFormat="1" applyFont="1" applyFill="1" applyAlignment="1">
      <alignment vertical="top"/>
    </xf>
    <xf numFmtId="0" fontId="23" fillId="8" borderId="0" xfId="0" applyFont="1" applyFill="1" applyAlignment="1">
      <alignment vertical="top"/>
    </xf>
    <xf numFmtId="164" fontId="28" fillId="0" borderId="0" xfId="0" applyNumberFormat="1" applyFont="1" applyAlignment="1">
      <alignment vertical="top"/>
    </xf>
    <xf numFmtId="10" fontId="28" fillId="0" borderId="0" xfId="0" applyNumberFormat="1" applyFont="1" applyAlignment="1">
      <alignment vertical="top"/>
    </xf>
    <xf numFmtId="49" fontId="22" fillId="8" borderId="0" xfId="0" applyNumberFormat="1" applyFont="1" applyFill="1" applyAlignment="1">
      <alignment vertical="top"/>
    </xf>
    <xf numFmtId="164" fontId="0" fillId="0" borderId="0" xfId="0" applyNumberFormat="1"/>
    <xf numFmtId="10" fontId="0" fillId="0" borderId="0" xfId="0" applyNumberFormat="1"/>
    <xf numFmtId="164" fontId="30" fillId="0" borderId="0" xfId="0" applyNumberFormat="1" applyFont="1"/>
    <xf numFmtId="10" fontId="30" fillId="0" borderId="0" xfId="0" applyNumberFormat="1" applyFont="1"/>
    <xf numFmtId="164" fontId="0" fillId="8" borderId="0" xfId="0" applyNumberFormat="1" applyFill="1"/>
    <xf numFmtId="10" fontId="0" fillId="8" borderId="0" xfId="0" applyNumberFormat="1" applyFill="1"/>
    <xf numFmtId="0" fontId="2" fillId="8" borderId="0" xfId="0" applyFont="1" applyFill="1"/>
    <xf numFmtId="0" fontId="31" fillId="0" borderId="0" xfId="0" applyFont="1"/>
    <xf numFmtId="164" fontId="31" fillId="0" borderId="0" xfId="0" applyNumberFormat="1" applyFont="1"/>
    <xf numFmtId="10" fontId="31" fillId="0" borderId="0" xfId="0" applyNumberFormat="1" applyFont="1"/>
    <xf numFmtId="0" fontId="2" fillId="0" borderId="0" xfId="0" applyFont="1"/>
    <xf numFmtId="0" fontId="32" fillId="0" borderId="0" xfId="0" applyFont="1"/>
    <xf numFmtId="0" fontId="33" fillId="0" borderId="0" xfId="0" applyFont="1" applyAlignment="1">
      <alignment horizontal="center"/>
    </xf>
    <xf numFmtId="0" fontId="27" fillId="2" borderId="9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top"/>
    </xf>
    <xf numFmtId="164" fontId="23" fillId="8" borderId="0" xfId="0" applyNumberFormat="1" applyFont="1" applyFill="1" applyAlignment="1">
      <alignment vertical="top"/>
    </xf>
    <xf numFmtId="10" fontId="29" fillId="8" borderId="0" xfId="0" applyNumberFormat="1" applyFont="1" applyFill="1" applyAlignment="1">
      <alignment vertical="top"/>
    </xf>
    <xf numFmtId="0" fontId="35" fillId="0" borderId="0" xfId="0" applyFont="1" applyAlignment="1">
      <alignment vertical="top"/>
    </xf>
    <xf numFmtId="10" fontId="36" fillId="0" borderId="0" xfId="0" applyNumberFormat="1" applyFont="1" applyAlignment="1">
      <alignment vertical="top"/>
    </xf>
    <xf numFmtId="10" fontId="29" fillId="12" borderId="0" xfId="0" applyNumberFormat="1" applyFont="1" applyFill="1" applyAlignment="1">
      <alignment vertical="top"/>
    </xf>
    <xf numFmtId="0" fontId="25" fillId="0" borderId="0" xfId="0" applyFont="1" applyAlignment="1">
      <alignment vertical="top"/>
    </xf>
    <xf numFmtId="0" fontId="3" fillId="3" borderId="0" xfId="0" applyFont="1" applyFill="1"/>
    <xf numFmtId="0" fontId="0" fillId="0" borderId="0" xfId="0"/>
    <xf numFmtId="0" fontId="7" fillId="5" borderId="0" xfId="0" applyFont="1" applyFill="1" applyAlignment="1">
      <alignment horizontal="center"/>
    </xf>
    <xf numFmtId="0" fontId="0" fillId="5" borderId="0" xfId="0" applyFill="1"/>
    <xf numFmtId="0" fontId="3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8" fillId="0" borderId="0" xfId="0" applyFont="1" applyAlignment="1">
      <alignment wrapText="1"/>
    </xf>
    <xf numFmtId="0" fontId="4" fillId="2" borderId="0" xfId="0" applyFont="1" applyFill="1"/>
    <xf numFmtId="0" fontId="5" fillId="0" borderId="0" xfId="0" applyFont="1"/>
    <xf numFmtId="0" fontId="6" fillId="5" borderId="0" xfId="0" applyFont="1" applyFill="1" applyAlignment="1">
      <alignment horizontal="center"/>
    </xf>
    <xf numFmtId="10" fontId="6" fillId="5" borderId="0" xfId="0" applyNumberFormat="1" applyFont="1" applyFill="1" applyAlignment="1">
      <alignment horizontal="center"/>
    </xf>
    <xf numFmtId="0" fontId="21" fillId="10" borderId="7" xfId="0" applyFont="1" applyFill="1" applyBorder="1" applyAlignment="1">
      <alignment wrapText="1"/>
    </xf>
    <xf numFmtId="0" fontId="12" fillId="0" borderId="7" xfId="0" applyFont="1" applyBorder="1"/>
    <xf numFmtId="0" fontId="9" fillId="2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9" fillId="9" borderId="0" xfId="0" applyFont="1" applyFill="1"/>
    <xf numFmtId="0" fontId="20" fillId="0" borderId="0" xfId="0" applyFont="1"/>
    <xf numFmtId="0" fontId="1" fillId="3" borderId="0" xfId="0" applyFont="1" applyFill="1"/>
    <xf numFmtId="0" fontId="13" fillId="0" borderId="0" xfId="0" applyFont="1"/>
    <xf numFmtId="0" fontId="21" fillId="10" borderId="5" xfId="0" applyFont="1" applyFill="1" applyBorder="1" applyAlignment="1">
      <alignment wrapText="1"/>
    </xf>
    <xf numFmtId="0" fontId="12" fillId="0" borderId="5" xfId="0" applyFont="1" applyBorder="1"/>
    <xf numFmtId="0" fontId="21" fillId="10" borderId="6" xfId="0" applyFont="1" applyFill="1" applyBorder="1" applyAlignment="1">
      <alignment wrapText="1"/>
    </xf>
    <xf numFmtId="0" fontId="12" fillId="0" borderId="6" xfId="0" applyFont="1" applyBorder="1"/>
    <xf numFmtId="10" fontId="29" fillId="0" borderId="0" xfId="0" applyNumberFormat="1" applyFont="1" applyFill="1" applyAlignment="1">
      <alignment vertical="top"/>
    </xf>
  </cellXfs>
  <cellStyles count="1">
    <cellStyle name="Normal" xfId="0" builtinId="0"/>
  </cellStyles>
  <dxfs count="25">
    <dxf>
      <font>
        <color rgb="FF9C0006"/>
      </font>
      <fill>
        <patternFill patternType="solid">
          <fgColor indexed="64"/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 outline="0">
        <left style="thin">
          <color rgb="FFD9EAF7"/>
        </left>
        <right/>
        <top style="thin">
          <color rgb="FFD9EAF7"/>
        </top>
        <bottom style="thin">
          <color rgb="FFD9EAF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5" formatCode="&quot;CPI+&quot;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4" formatCode="0.0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0.0%"/>
      <fill>
        <patternFill patternType="solid">
          <fgColor indexed="64"/>
          <bgColor rgb="FFEAF2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alignment horizontal="left"/>
      <border diagonalUp="0" diagonalDown="0"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alignment horizontal="left"/>
      <border diagonalUp="0" diagonalDown="0">
        <left/>
        <right style="thin">
          <color rgb="FFD9EAF7"/>
        </right>
        <top style="thin">
          <color rgb="FFD9EAF7"/>
        </top>
        <bottom style="thin">
          <color rgb="FFD9EAF7"/>
        </bottom>
        <vertical style="thin">
          <color rgb="FFD9EAF7"/>
        </vertical>
        <horizontal style="thin">
          <color rgb="FFD9EAF7"/>
        </horizontal>
      </border>
    </dxf>
    <dxf>
      <border>
        <top style="thin">
          <color rgb="FFD9EAF7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D9EA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EAF7"/>
        </left>
        <right style="thin">
          <color rgb="FFD9EAF7"/>
        </right>
        <top/>
        <bottom/>
        <vertical style="thin">
          <color rgb="FFD9EAF7"/>
        </vertical>
        <horizontal style="thin">
          <color rgb="FFD9EAF7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vs Income Allocation by Risk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'Portfolio Insights'!$B$22</c:f>
              <c:strCache>
                <c:ptCount val="1"/>
                <c:pt idx="0">
                  <c:v>Growth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Insights'!$A$23:$A$27</c:f>
              <c:strCache>
                <c:ptCount val="5"/>
                <c:pt idx="0">
                  <c:v>Conservative</c:v>
                </c:pt>
                <c:pt idx="1">
                  <c:v>Moderate Conservative</c:v>
                </c:pt>
                <c:pt idx="2">
                  <c:v>Moderate</c:v>
                </c:pt>
                <c:pt idx="3">
                  <c:v>Moderate Aggressive</c:v>
                </c:pt>
                <c:pt idx="4">
                  <c:v>Aggressive</c:v>
                </c:pt>
              </c:strCache>
            </c:strRef>
          </c:cat>
          <c:val>
            <c:numRef>
              <c:f>'Portfolio Insights'!$B$23:$B$27</c:f>
              <c:numCache>
                <c:formatCode>0.0%</c:formatCode>
                <c:ptCount val="5"/>
                <c:pt idx="0">
                  <c:v>0.03</c:v>
                </c:pt>
                <c:pt idx="1">
                  <c:v>0.42500000000000004</c:v>
                </c:pt>
                <c:pt idx="2">
                  <c:v>0.6</c:v>
                </c:pt>
                <c:pt idx="3">
                  <c:v>0.74</c:v>
                </c:pt>
                <c:pt idx="4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1-4860-84B1-68AEF29D582B}"/>
            </c:ext>
          </c:extLst>
        </c:ser>
        <c:ser>
          <c:idx val="1"/>
          <c:order val="1"/>
          <c:tx>
            <c:strRef>
              <c:f>'Portfolio Insights'!$C$22</c:f>
              <c:strCache>
                <c:ptCount val="1"/>
                <c:pt idx="0">
                  <c:v>Income Assets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Insights'!$A$23:$A$27</c:f>
              <c:strCache>
                <c:ptCount val="5"/>
                <c:pt idx="0">
                  <c:v>Conservative</c:v>
                </c:pt>
                <c:pt idx="1">
                  <c:v>Moderate Conservative</c:v>
                </c:pt>
                <c:pt idx="2">
                  <c:v>Moderate</c:v>
                </c:pt>
                <c:pt idx="3">
                  <c:v>Moderate Aggressive</c:v>
                </c:pt>
                <c:pt idx="4">
                  <c:v>Aggressive</c:v>
                </c:pt>
              </c:strCache>
            </c:strRef>
          </c:cat>
          <c:val>
            <c:numRef>
              <c:f>'Portfolio Insights'!$C$23:$C$27</c:f>
              <c:numCache>
                <c:formatCode>0.0%</c:formatCode>
                <c:ptCount val="5"/>
                <c:pt idx="0">
                  <c:v>0.96999999999999986</c:v>
                </c:pt>
                <c:pt idx="1">
                  <c:v>0.57500000000000007</c:v>
                </c:pt>
                <c:pt idx="2">
                  <c:v>0.4</c:v>
                </c:pt>
                <c:pt idx="3">
                  <c:v>0.26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1-4860-84B1-68AEF29D5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4843807"/>
        <c:axId val="647564047"/>
      </c:barChart>
      <c:catAx>
        <c:axId val="107484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64047"/>
        <c:crosses val="autoZero"/>
        <c:auto val="1"/>
        <c:lblAlgn val="ctr"/>
        <c:lblOffset val="100"/>
        <c:noMultiLvlLbl val="0"/>
      </c:catAx>
      <c:valAx>
        <c:axId val="64756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8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 and Volatility Across Portfolios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Insights'!$G$22</c:f>
              <c:strCache>
                <c:ptCount val="1"/>
                <c:pt idx="0">
                  <c:v>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Insights'!$F$23:$F$27</c:f>
              <c:strCache>
                <c:ptCount val="5"/>
                <c:pt idx="0">
                  <c:v>Conservative</c:v>
                </c:pt>
                <c:pt idx="1">
                  <c:v>Moderate Conservative</c:v>
                </c:pt>
                <c:pt idx="2">
                  <c:v>Moderate</c:v>
                </c:pt>
                <c:pt idx="3">
                  <c:v>Moderate Aggressive</c:v>
                </c:pt>
                <c:pt idx="4">
                  <c:v>Aggressive</c:v>
                </c:pt>
              </c:strCache>
            </c:strRef>
          </c:cat>
          <c:val>
            <c:numRef>
              <c:f>'Portfolio Insights'!$G$23:$G$27</c:f>
              <c:numCache>
                <c:formatCode>0.00%</c:formatCode>
                <c:ptCount val="5"/>
                <c:pt idx="0">
                  <c:v>4.4999999999999997E-3</c:v>
                </c:pt>
                <c:pt idx="1">
                  <c:v>6.6E-3</c:v>
                </c:pt>
                <c:pt idx="2">
                  <c:v>4.0000000000000001E-3</c:v>
                </c:pt>
                <c:pt idx="3">
                  <c:v>6.8999999999999999E-3</c:v>
                </c:pt>
                <c:pt idx="4">
                  <c:v>3.7000000000000002E-3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6-4867-95D1-E8AF45B689E0}"/>
            </c:ext>
          </c:extLst>
        </c:ser>
        <c:ser>
          <c:idx val="1"/>
          <c:order val="1"/>
          <c:tx>
            <c:strRef>
              <c:f>'Portfolio Insights'!$H$22</c:f>
              <c:strCache>
                <c:ptCount val="1"/>
                <c:pt idx="0">
                  <c:v>Volatility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Insights'!$F$23:$F$27</c:f>
              <c:strCache>
                <c:ptCount val="5"/>
                <c:pt idx="0">
                  <c:v>Conservative</c:v>
                </c:pt>
                <c:pt idx="1">
                  <c:v>Moderate Conservative</c:v>
                </c:pt>
                <c:pt idx="2">
                  <c:v>Moderate</c:v>
                </c:pt>
                <c:pt idx="3">
                  <c:v>Moderate Aggressive</c:v>
                </c:pt>
                <c:pt idx="4">
                  <c:v>Aggressive</c:v>
                </c:pt>
              </c:strCache>
            </c:strRef>
          </c:cat>
          <c:val>
            <c:numRef>
              <c:f>'Portfolio Insights'!$H$23:$H$27</c:f>
              <c:numCache>
                <c:formatCode>0.0%</c:formatCode>
                <c:ptCount val="5"/>
                <c:pt idx="0">
                  <c:v>2.1100000000000001E-2</c:v>
                </c:pt>
                <c:pt idx="1">
                  <c:v>7.6700000000000004E-2</c:v>
                </c:pt>
                <c:pt idx="2">
                  <c:v>9.4399999999999998E-2</c:v>
                </c:pt>
                <c:pt idx="3">
                  <c:v>0.1041</c:v>
                </c:pt>
                <c:pt idx="4">
                  <c:v>0.11840000000000001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6-4867-95D1-E8AF45B68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231759"/>
        <c:axId val="647448847"/>
      </c:barChart>
      <c:catAx>
        <c:axId val="108223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48847"/>
        <c:crosses val="autoZero"/>
        <c:auto val="1"/>
        <c:lblAlgn val="ctr"/>
        <c:lblOffset val="100"/>
        <c:noMultiLvlLbl val="0"/>
      </c:catAx>
      <c:valAx>
        <c:axId val="6474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3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Allocation by Asset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'Portfolio Insights'!$K$22</c:f>
              <c:strCache>
                <c:ptCount val="1"/>
                <c:pt idx="0">
                  <c:v>Average Allocation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Insights'!$J$23:$J$28</c:f>
              <c:strCache>
                <c:ptCount val="6"/>
                <c:pt idx="0">
                  <c:v>SA Equity</c:v>
                </c:pt>
                <c:pt idx="1">
                  <c:v>Global Equity</c:v>
                </c:pt>
                <c:pt idx="2">
                  <c:v>SA Bonds</c:v>
                </c:pt>
                <c:pt idx="3">
                  <c:v>Global Bonds</c:v>
                </c:pt>
                <c:pt idx="4">
                  <c:v>Property</c:v>
                </c:pt>
                <c:pt idx="5">
                  <c:v>Cash</c:v>
                </c:pt>
              </c:strCache>
            </c:strRef>
          </c:cat>
          <c:val>
            <c:numRef>
              <c:f>'Portfolio Insights'!$K$23:$K$28</c:f>
              <c:numCache>
                <c:formatCode>0.0%</c:formatCode>
                <c:ptCount val="6"/>
                <c:pt idx="0">
                  <c:v>0.24499999999999997</c:v>
                </c:pt>
                <c:pt idx="1">
                  <c:v>0.33416666666666667</c:v>
                </c:pt>
                <c:pt idx="2">
                  <c:v>0.22916666666666666</c:v>
                </c:pt>
                <c:pt idx="3">
                  <c:v>6.5833333333333341E-2</c:v>
                </c:pt>
                <c:pt idx="4">
                  <c:v>2.9166666666666664E-2</c:v>
                </c:pt>
                <c:pt idx="5">
                  <c:v>9.6666666666666679E-2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9-4F56-9F75-0A83205E3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196031"/>
        <c:axId val="647532367"/>
      </c:barChart>
      <c:catAx>
        <c:axId val="108219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32367"/>
        <c:crosses val="autoZero"/>
        <c:auto val="1"/>
        <c:lblAlgn val="ctr"/>
        <c:lblOffset val="100"/>
        <c:noMultiLvlLbl val="0"/>
      </c:catAx>
      <c:valAx>
        <c:axId val="64753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9603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2" name="Growth vs Income Allocation">
          <a:extLst>
            <a:ext uri="{FF2B5EF4-FFF2-40B4-BE49-F238E27FC236}">
              <a16:creationId xmlns:a16="http://schemas.microsoft.com/office/drawing/2014/main" id="{0AAA6ADA-8B31-A3B8-180F-E363E2BE8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3" name="Fee and Volatility">
          <a:extLst>
            <a:ext uri="{FF2B5EF4-FFF2-40B4-BE49-F238E27FC236}">
              <a16:creationId xmlns:a16="http://schemas.microsoft.com/office/drawing/2014/main" id="{3F775E72-AB83-7449-CE5B-184F15483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4" name="Average Asset Class Mix">
          <a:extLst>
            <a:ext uri="{FF2B5EF4-FFF2-40B4-BE49-F238E27FC236}">
              <a16:creationId xmlns:a16="http://schemas.microsoft.com/office/drawing/2014/main" id="{BA9027B2-7C01-8F06-67C3-5C1C69E8E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7B5E7-671A-4750-9E5E-480624E1E2C5}" name="ModelPortfolioTable" displayName="ModelPortfolioTable" ref="B7:T13" totalsRowShown="0" headerRowDxfId="24" dataDxfId="22" headerRowBorderDxfId="23" tableBorderDxfId="21" totalsRowBorderDxfId="20">
  <autoFilter ref="B7:T13" xr:uid="{1327B5E7-671A-4750-9E5E-480624E1E2C5}"/>
  <tableColumns count="19">
    <tableColumn id="1" xr3:uid="{39CB49B7-9096-420C-8002-CB6C6A5C09A6}" name="Risk Category" dataDxfId="19"/>
    <tableColumn id="2" xr3:uid="{CA7A063B-7259-4F69-8FE4-495A5EDEDDC2}" name="Model Name" dataDxfId="18"/>
    <tableColumn id="3" xr3:uid="{A85AA216-209E-45BC-81FC-654BCD1FF6A2}" name="SA Equity" dataDxfId="17"/>
    <tableColumn id="4" xr3:uid="{A1A9C78F-24A6-418D-AF6E-58640F154CDD}" name="Global Equity" dataDxfId="16"/>
    <tableColumn id="5" xr3:uid="{0D95753D-6330-4985-A43A-CAC78924A341}" name="SA Bonds" dataDxfId="15"/>
    <tableColumn id="6" xr3:uid="{FE82A1B2-E8D1-489A-B5C2-7E2C574C0467}" name="Global Bonds" dataDxfId="14"/>
    <tableColumn id="7" xr3:uid="{FB0983DC-BE6D-4984-9906-9D970E33725F}" name="SA Property" dataDxfId="13"/>
    <tableColumn id="8" xr3:uid="{D9A4A7D5-7F43-4642-B1E7-00B8953E5565}" name="Global Property" dataDxfId="12"/>
    <tableColumn id="9" xr3:uid="{2F2746B5-33DC-4947-804C-9A4B369DE26B}" name="SA Cash" dataDxfId="11"/>
    <tableColumn id="10" xr3:uid="{1632E478-8CA6-4E14-9B7E-62EDF8F50681}" name="Global Cash" dataDxfId="10"/>
    <tableColumn id="11" xr3:uid="{3F6FD83B-73DF-4DFB-8A78-77B48945FFC0}" name="SA Assets" dataDxfId="9">
      <calculatedColumnFormula>SUM(D8,F8,H8,J8)</calculatedColumnFormula>
    </tableColumn>
    <tableColumn id="12" xr3:uid="{7D1099F0-4C4B-4DDE-9E29-BF4A9ED8801F}" name="Global Assets" dataDxfId="8">
      <calculatedColumnFormula>SUM(E8,G8,I8,K8)</calculatedColumnFormula>
    </tableColumn>
    <tableColumn id="13" xr3:uid="{2E3DA66F-29AE-40D6-A296-829CB4F992ED}" name="Growth Assets" dataDxfId="7">
      <calculatedColumnFormula>SUM(D8:E8,H8:I8)</calculatedColumnFormula>
    </tableColumn>
    <tableColumn id="14" xr3:uid="{CAA9F407-2235-4385-9BD5-179117A38A5F}" name="Conservative Assets" dataDxfId="6">
      <calculatedColumnFormula>SUM(F8:G8,J8:K8)</calculatedColumnFormula>
    </tableColumn>
    <tableColumn id="15" xr3:uid="{E157ECEE-AEEC-4B7A-941F-E1510E982F57}" name="Total Allocation" dataDxfId="5">
      <calculatedColumnFormula>SUM(D8:K8)</calculatedColumnFormula>
    </tableColumn>
    <tableColumn id="16" xr3:uid="{7001B65C-C0AD-48DE-BAB0-CD80757476CE}" name="Fee (TER, % p.a.)" dataDxfId="4"/>
    <tableColumn id="17" xr3:uid="{582CDF31-5B6F-41ED-A01F-DCB803578A86}" name="CPI+ Return Target" dataDxfId="3"/>
    <tableColumn id="18" xr3:uid="{07C0CF84-7805-4A1F-A116-087F18A6B1F2}" name="Volatility (Annualised Std Dev)" dataDxfId="2"/>
    <tableColumn id="19" xr3:uid="{35FF340C-5921-4A26-B0A4-D6E6EB3D4B5F}" name="Vol perio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155C-21BF-4FA5-8465-AD32BE76AE88}">
  <dimension ref="A1:N55"/>
  <sheetViews>
    <sheetView workbookViewId="0">
      <selection activeCell="L24" sqref="L24"/>
    </sheetView>
  </sheetViews>
  <sheetFormatPr defaultRowHeight="15" x14ac:dyDescent="0.25"/>
  <cols>
    <col min="1" max="1" width="22.85546875" customWidth="1"/>
    <col min="2" max="2" width="36.140625" customWidth="1"/>
    <col min="3" max="3" width="15.5703125" customWidth="1"/>
    <col min="4" max="6" width="17.5703125" customWidth="1"/>
    <col min="7" max="7" width="15.5703125" customWidth="1"/>
    <col min="8" max="8" width="6.7109375" customWidth="1"/>
    <col min="9" max="9" width="25.7109375" customWidth="1"/>
    <col min="10" max="10" width="38.140625" customWidth="1"/>
    <col min="11" max="14" width="15.5703125" customWidth="1"/>
  </cols>
  <sheetData>
    <row r="1" spans="1:14" ht="23.25" x14ac:dyDescent="0.35">
      <c r="A1" s="86" t="s">
        <v>35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x14ac:dyDescent="0.25">
      <c r="A2" s="87" t="s">
        <v>158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4" spans="1:14" x14ac:dyDescent="0.25">
      <c r="A4" s="83" t="s">
        <v>36</v>
      </c>
      <c r="B4" s="82"/>
      <c r="C4" s="82"/>
      <c r="D4" s="83" t="s">
        <v>37</v>
      </c>
      <c r="E4" s="82"/>
      <c r="F4" s="82"/>
      <c r="G4" s="83" t="s">
        <v>39</v>
      </c>
      <c r="H4" s="82"/>
      <c r="I4" s="82"/>
      <c r="J4" s="83" t="s">
        <v>41</v>
      </c>
      <c r="K4" s="83"/>
      <c r="L4" s="83"/>
    </row>
    <row r="5" spans="1:14" ht="26.25" x14ac:dyDescent="0.4">
      <c r="A5" s="88">
        <f>COUNTA('Model Portfolios'!B8:B13)</f>
        <v>6</v>
      </c>
      <c r="B5" s="82"/>
      <c r="C5" s="82"/>
      <c r="D5" s="89">
        <f>AVERAGE('Model Portfolios'!Q8:Q13)</f>
        <v>5.0000000000000001E-3</v>
      </c>
      <c r="E5" s="82"/>
      <c r="F5" s="82"/>
      <c r="G5" s="84">
        <f>MAX('Model Portfolios'!R8:R13)-MIN('Model Portfolios'!R8:R13)</f>
        <v>6.0000000000000005E-2</v>
      </c>
      <c r="H5" s="82"/>
      <c r="I5" s="82"/>
      <c r="J5" s="84">
        <f>MAX('Model Portfolios'!S8:S13)-MIN('Model Portfolios'!S8:S13)</f>
        <v>0.1051</v>
      </c>
      <c r="K5" s="82"/>
      <c r="L5" s="82"/>
    </row>
    <row r="6" spans="1:14" x14ac:dyDescent="0.25">
      <c r="A6" s="81" t="s">
        <v>157</v>
      </c>
      <c r="B6" s="82"/>
      <c r="C6" s="82"/>
      <c r="D6" s="81" t="s">
        <v>38</v>
      </c>
      <c r="E6" s="82"/>
      <c r="F6" s="82"/>
      <c r="G6" s="81" t="s">
        <v>40</v>
      </c>
      <c r="H6" s="82"/>
      <c r="I6" s="82"/>
      <c r="J6" s="81" t="s">
        <v>171</v>
      </c>
      <c r="K6" s="81"/>
      <c r="L6" s="81"/>
    </row>
    <row r="8" spans="1:14" x14ac:dyDescent="0.25">
      <c r="A8" s="79" t="s">
        <v>42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</row>
    <row r="9" spans="1:14" x14ac:dyDescent="0.25">
      <c r="A9" s="85" t="s">
        <v>172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</row>
    <row r="10" spans="1:14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</row>
    <row r="11" spans="1:14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</row>
    <row r="13" spans="1:14" x14ac:dyDescent="0.25">
      <c r="A13" s="7" t="s">
        <v>6</v>
      </c>
      <c r="B13" s="7" t="s">
        <v>7</v>
      </c>
      <c r="C13" s="7" t="s">
        <v>43</v>
      </c>
      <c r="D13" s="7" t="s">
        <v>44</v>
      </c>
      <c r="E13" s="7" t="s">
        <v>45</v>
      </c>
      <c r="F13" s="7" t="s">
        <v>46</v>
      </c>
      <c r="G13" s="7" t="s">
        <v>8</v>
      </c>
      <c r="H13" s="7" t="s">
        <v>9</v>
      </c>
      <c r="I13" s="7" t="s">
        <v>10</v>
      </c>
      <c r="J13" s="7" t="s">
        <v>11</v>
      </c>
      <c r="K13" s="7" t="s">
        <v>47</v>
      </c>
      <c r="L13" s="7" t="s">
        <v>48</v>
      </c>
      <c r="M13" s="7" t="s">
        <v>49</v>
      </c>
      <c r="N13" s="7" t="s">
        <v>170</v>
      </c>
    </row>
    <row r="14" spans="1:14" x14ac:dyDescent="0.25">
      <c r="A14" s="2" t="str">
        <f>'Model Portfolios'!B8</f>
        <v>Conservative</v>
      </c>
      <c r="B14" s="2" t="str">
        <f>'Model Portfolios'!C8</f>
        <v>DNA Income Portfolio</v>
      </c>
      <c r="C14" s="3">
        <f>SUM('Model Portfolios'!D8:E8,'Model Portfolios'!H8:I8)</f>
        <v>0.03</v>
      </c>
      <c r="D14" s="3">
        <f>SUM('Model Portfolios'!F8:G8,'Model Portfolios'!J8:K8)</f>
        <v>0.96999999999999986</v>
      </c>
      <c r="E14" s="3">
        <f>SUM('Model Portfolios'!D8,'Model Portfolios'!F8,'Model Portfolios'!H8,'Model Portfolios'!J8)</f>
        <v>0.89999999999999991</v>
      </c>
      <c r="F14" s="3">
        <f>SUM('Model Portfolios'!E8,'Model Portfolios'!G8,'Model Portfolios'!I8,'Model Portfolios'!K8)</f>
        <v>0.1</v>
      </c>
      <c r="G14" s="3">
        <f>'Model Portfolios'!D8</f>
        <v>0</v>
      </c>
      <c r="H14" s="3">
        <f>'Model Portfolios'!E8</f>
        <v>0</v>
      </c>
      <c r="I14" s="3">
        <f>'Model Portfolios'!F8</f>
        <v>0.56999999999999995</v>
      </c>
      <c r="J14" s="3">
        <f>'Model Portfolios'!G8</f>
        <v>8.5000000000000006E-2</v>
      </c>
      <c r="K14" s="3">
        <f>SUM('Model Portfolios'!H8:I8)</f>
        <v>0.03</v>
      </c>
      <c r="L14" s="3">
        <f>SUM('Model Portfolios'!J8:K8)</f>
        <v>0.315</v>
      </c>
      <c r="M14" s="4">
        <f>'Model Portfolios'!Q8</f>
        <v>4.4999999999999997E-3</v>
      </c>
      <c r="N14" s="3">
        <f>'Model Portfolios'!S8</f>
        <v>2.1100000000000001E-2</v>
      </c>
    </row>
    <row r="15" spans="1:14" x14ac:dyDescent="0.25">
      <c r="A15" s="2" t="str">
        <f>'Model Portfolios'!B9</f>
        <v>Moderate Conservative</v>
      </c>
      <c r="B15" s="2" t="str">
        <f>'Model Portfolios'!C9</f>
        <v>DNA Moderate Conservative Portfolio</v>
      </c>
      <c r="C15" s="3">
        <f>SUM('Model Portfolios'!D9:E9,'Model Portfolios'!H9:I9)</f>
        <v>0.42500000000000004</v>
      </c>
      <c r="D15" s="3">
        <f>SUM('Model Portfolios'!F9:G9,'Model Portfolios'!J9:K9)</f>
        <v>0.57500000000000007</v>
      </c>
      <c r="E15" s="3">
        <f>SUM('Model Portfolios'!D9,'Model Portfolios'!F9,'Model Portfolios'!H9,'Model Portfolios'!J9)</f>
        <v>0.77500000000000002</v>
      </c>
      <c r="F15" s="3">
        <f>SUM('Model Portfolios'!E9,'Model Portfolios'!G9,'Model Portfolios'!I9,'Model Portfolios'!K9)</f>
        <v>0.22500000000000003</v>
      </c>
      <c r="G15" s="3">
        <f>'Model Portfolios'!D9</f>
        <v>0.25</v>
      </c>
      <c r="H15" s="3">
        <f>'Model Portfolios'!E9</f>
        <v>0.14000000000000001</v>
      </c>
      <c r="I15" s="3">
        <f>'Model Portfolios'!F9</f>
        <v>0.39</v>
      </c>
      <c r="J15" s="3">
        <f>'Model Portfolios'!G9</f>
        <v>8.5000000000000006E-2</v>
      </c>
      <c r="K15" s="3">
        <f>SUM('Model Portfolios'!H9:I9)</f>
        <v>3.5000000000000003E-2</v>
      </c>
      <c r="L15" s="3">
        <f>SUM('Model Portfolios'!J9:K9)</f>
        <v>0.1</v>
      </c>
      <c r="M15" s="4">
        <f>'Model Portfolios'!Q9</f>
        <v>6.6E-3</v>
      </c>
      <c r="N15" s="3">
        <f>'Model Portfolios'!S9</f>
        <v>7.6700000000000004E-2</v>
      </c>
    </row>
    <row r="16" spans="1:14" x14ac:dyDescent="0.25">
      <c r="A16" s="2" t="str">
        <f>'Model Portfolios'!B10</f>
        <v>Moderate</v>
      </c>
      <c r="B16" s="2" t="str">
        <f>'Model Portfolios'!C10</f>
        <v>DNA Moderate Portfolio</v>
      </c>
      <c r="C16" s="3">
        <f>SUM('Model Portfolios'!D10:E10,'Model Portfolios'!H10:I10)</f>
        <v>0.6</v>
      </c>
      <c r="D16" s="3">
        <f>SUM('Model Portfolios'!F10:G10,'Model Portfolios'!J10:K10)</f>
        <v>0.4</v>
      </c>
      <c r="E16" s="3">
        <f>SUM('Model Portfolios'!D10,'Model Portfolios'!F10,'Model Portfolios'!H10,'Model Portfolios'!J10)</f>
        <v>0.69000000000000006</v>
      </c>
      <c r="F16" s="3">
        <f>SUM('Model Portfolios'!E10,'Model Portfolios'!G10,'Model Portfolios'!I10,'Model Portfolios'!K10)</f>
        <v>0.31</v>
      </c>
      <c r="G16" s="3">
        <f>'Model Portfolios'!D10</f>
        <v>0.31</v>
      </c>
      <c r="H16" s="3">
        <f>'Model Portfolios'!E10</f>
        <v>0.255</v>
      </c>
      <c r="I16" s="3">
        <f>'Model Portfolios'!F10</f>
        <v>0.25</v>
      </c>
      <c r="J16" s="3">
        <f>'Model Portfolios'!G10</f>
        <v>5.5E-2</v>
      </c>
      <c r="K16" s="3">
        <f>SUM('Model Portfolios'!H10:I10)</f>
        <v>3.5000000000000003E-2</v>
      </c>
      <c r="L16" s="3">
        <f>SUM('Model Portfolios'!J10:K10)</f>
        <v>9.5000000000000001E-2</v>
      </c>
      <c r="M16" s="4">
        <f>'Model Portfolios'!Q10</f>
        <v>4.0000000000000001E-3</v>
      </c>
      <c r="N16" s="3">
        <f>'Model Portfolios'!S10</f>
        <v>9.4399999999999998E-2</v>
      </c>
    </row>
    <row r="17" spans="1:14" x14ac:dyDescent="0.25">
      <c r="A17" s="2" t="str">
        <f>'Model Portfolios'!B11</f>
        <v>Moderate Aggressive</v>
      </c>
      <c r="B17" s="2" t="str">
        <f>'Model Portfolios'!C11</f>
        <v>DNA Moderate Aggressive Portfolio</v>
      </c>
      <c r="C17" s="3">
        <f>SUM('Model Portfolios'!D11:E11,'Model Portfolios'!H11:I11)</f>
        <v>0.74</v>
      </c>
      <c r="D17" s="3">
        <f>SUM('Model Portfolios'!F11:G11,'Model Portfolios'!J11:K11)</f>
        <v>0.26</v>
      </c>
      <c r="E17" s="3">
        <f>SUM('Model Portfolios'!D11,'Model Portfolios'!F11,'Model Portfolios'!H11,'Model Portfolios'!J11)</f>
        <v>0.65500000000000003</v>
      </c>
      <c r="F17" s="3">
        <f>SUM('Model Portfolios'!E11,'Model Portfolios'!G11,'Model Portfolios'!I11,'Model Portfolios'!K11)</f>
        <v>0.34500000000000003</v>
      </c>
      <c r="G17" s="3">
        <f>'Model Portfolios'!D11</f>
        <v>0.43</v>
      </c>
      <c r="H17" s="3">
        <f>'Model Portfolios'!E11</f>
        <v>0.28000000000000003</v>
      </c>
      <c r="I17" s="3">
        <f>'Model Portfolios'!F11</f>
        <v>0.16500000000000001</v>
      </c>
      <c r="J17" s="3">
        <f>'Model Portfolios'!G11</f>
        <v>6.5000000000000002E-2</v>
      </c>
      <c r="K17" s="3">
        <f>SUM('Model Portfolios'!H11:I11)</f>
        <v>0.03</v>
      </c>
      <c r="L17" s="3">
        <f>SUM('Model Portfolios'!J11:K11)</f>
        <v>0.03</v>
      </c>
      <c r="M17" s="4">
        <f>'Model Portfolios'!Q11</f>
        <v>6.8999999999999999E-3</v>
      </c>
      <c r="N17" s="3">
        <f>'Model Portfolios'!S11</f>
        <v>0.1041</v>
      </c>
    </row>
    <row r="18" spans="1:14" x14ac:dyDescent="0.25">
      <c r="A18" s="2" t="str">
        <f>'Model Portfolios'!B12</f>
        <v>Aggressive</v>
      </c>
      <c r="B18" s="2" t="str">
        <f>'Model Portfolios'!C12</f>
        <v>DNA Agressive Equity Portfolio</v>
      </c>
      <c r="C18" s="3">
        <f>SUM('Model Portfolios'!D12:E12,'Model Portfolios'!H12:I12)</f>
        <v>0.99</v>
      </c>
      <c r="D18" s="3">
        <f>SUM('Model Portfolios'!F12:G12,'Model Portfolios'!J12:K12)</f>
        <v>0.01</v>
      </c>
      <c r="E18" s="3">
        <f>SUM('Model Portfolios'!D12,'Model Portfolios'!F12,'Model Portfolios'!H12,'Model Portfolios'!J12)</f>
        <v>0.51</v>
      </c>
      <c r="F18" s="3">
        <f>SUM('Model Portfolios'!E12,'Model Portfolios'!G12,'Model Portfolios'!I12,'Model Portfolios'!K12)</f>
        <v>0.49</v>
      </c>
      <c r="G18" s="3">
        <f>'Model Portfolios'!D12</f>
        <v>0.47499999999999998</v>
      </c>
      <c r="H18" s="3">
        <f>'Model Portfolios'!E12</f>
        <v>0.49</v>
      </c>
      <c r="I18" s="3">
        <f>'Model Portfolios'!F12</f>
        <v>0</v>
      </c>
      <c r="J18" s="3">
        <f>'Model Portfolios'!G12</f>
        <v>0</v>
      </c>
      <c r="K18" s="3">
        <f>SUM('Model Portfolios'!H12:I12)</f>
        <v>2.5000000000000001E-2</v>
      </c>
      <c r="L18" s="3">
        <f>SUM('Model Portfolios'!J12:K12)</f>
        <v>0.01</v>
      </c>
      <c r="M18" s="4">
        <f>'Model Portfolios'!Q12</f>
        <v>3.7000000000000002E-3</v>
      </c>
      <c r="N18" s="3">
        <f>'Model Portfolios'!S12</f>
        <v>0.11840000000000001</v>
      </c>
    </row>
    <row r="19" spans="1:14" x14ac:dyDescent="0.25">
      <c r="A19" s="2" t="str">
        <f>'Model Portfolios'!B13</f>
        <v>Aggressive</v>
      </c>
      <c r="B19" s="2" t="str">
        <f>'Model Portfolios'!C13</f>
        <v>DNA Global Aggressive Portfolio</v>
      </c>
      <c r="C19" s="3">
        <f>SUM('Model Portfolios'!D13:E13,'Model Portfolios'!H13:I13)</f>
        <v>0.86499999999999999</v>
      </c>
      <c r="D19" s="3">
        <f>SUM('Model Portfolios'!F13:G13,'Model Portfolios'!J13:K13)</f>
        <v>0.13500000000000001</v>
      </c>
      <c r="E19" s="3">
        <f>SUM('Model Portfolios'!D13,'Model Portfolios'!F13,'Model Portfolios'!H13,'Model Portfolios'!J13)</f>
        <v>5.5E-2</v>
      </c>
      <c r="F19" s="3">
        <f>SUM('Model Portfolios'!E13,'Model Portfolios'!G13,'Model Portfolios'!I13,'Model Portfolios'!K13)</f>
        <v>0.94499999999999995</v>
      </c>
      <c r="G19" s="3">
        <f>'Model Portfolios'!D13</f>
        <v>5.0000000000000001E-3</v>
      </c>
      <c r="H19" s="3">
        <f>'Model Portfolios'!E13</f>
        <v>0.84</v>
      </c>
      <c r="I19" s="3">
        <f>'Model Portfolios'!F13</f>
        <v>0</v>
      </c>
      <c r="J19" s="3">
        <f>'Model Portfolios'!G13</f>
        <v>0.105</v>
      </c>
      <c r="K19" s="3">
        <f>SUM('Model Portfolios'!H13:I13)</f>
        <v>0.02</v>
      </c>
      <c r="L19" s="3">
        <f>SUM('Model Portfolios'!J13:K13)</f>
        <v>0.03</v>
      </c>
      <c r="M19" s="4">
        <f>'Model Portfolios'!Q13</f>
        <v>4.3E-3</v>
      </c>
      <c r="N19" s="3">
        <f>'Model Portfolios'!S13</f>
        <v>0.12620000000000001</v>
      </c>
    </row>
    <row r="22" spans="1:14" x14ac:dyDescent="0.25">
      <c r="A22" s="8" t="s">
        <v>6</v>
      </c>
      <c r="B22" s="8" t="s">
        <v>43</v>
      </c>
      <c r="C22" s="8" t="s">
        <v>44</v>
      </c>
      <c r="D22" s="8" t="s">
        <v>50</v>
      </c>
      <c r="E22" s="1"/>
      <c r="F22" s="8" t="s">
        <v>6</v>
      </c>
      <c r="G22" s="8" t="s">
        <v>49</v>
      </c>
      <c r="H22" s="8" t="s">
        <v>50</v>
      </c>
      <c r="I22" s="1"/>
      <c r="J22" s="8" t="s">
        <v>51</v>
      </c>
      <c r="K22" s="8" t="s">
        <v>52</v>
      </c>
    </row>
    <row r="23" spans="1:14" x14ac:dyDescent="0.25">
      <c r="A23" s="2" t="str">
        <f t="shared" ref="A23:A28" si="0">A14</f>
        <v>Conservative</v>
      </c>
      <c r="B23" s="3">
        <f t="shared" ref="B23:C27" si="1">C14</f>
        <v>0.03</v>
      </c>
      <c r="C23" s="3">
        <f t="shared" si="1"/>
        <v>0.96999999999999986</v>
      </c>
      <c r="D23" s="3">
        <f t="shared" ref="D23:D28" si="2">N14</f>
        <v>2.1100000000000001E-2</v>
      </c>
      <c r="E23" s="2"/>
      <c r="F23" s="2" t="str">
        <f t="shared" ref="F23:F28" si="3">A14</f>
        <v>Conservative</v>
      </c>
      <c r="G23" s="4">
        <f t="shared" ref="G23:H27" si="4">M14</f>
        <v>4.4999999999999997E-3</v>
      </c>
      <c r="H23" s="3">
        <f t="shared" si="4"/>
        <v>2.1100000000000001E-2</v>
      </c>
      <c r="I23" s="2"/>
      <c r="J23" s="2" t="s">
        <v>8</v>
      </c>
      <c r="K23" s="3">
        <f>AVERAGE(G14:G19)</f>
        <v>0.24499999999999997</v>
      </c>
    </row>
    <row r="24" spans="1:14" x14ac:dyDescent="0.25">
      <c r="A24" s="2" t="str">
        <f t="shared" si="0"/>
        <v>Moderate Conservative</v>
      </c>
      <c r="B24" s="3">
        <f t="shared" si="1"/>
        <v>0.42500000000000004</v>
      </c>
      <c r="C24" s="3">
        <f t="shared" si="1"/>
        <v>0.57500000000000007</v>
      </c>
      <c r="D24" s="3">
        <f t="shared" si="2"/>
        <v>7.6700000000000004E-2</v>
      </c>
      <c r="E24" s="2"/>
      <c r="F24" s="2" t="str">
        <f t="shared" si="3"/>
        <v>Moderate Conservative</v>
      </c>
      <c r="G24" s="4">
        <f t="shared" si="4"/>
        <v>6.6E-3</v>
      </c>
      <c r="H24" s="3">
        <f t="shared" si="4"/>
        <v>7.6700000000000004E-2</v>
      </c>
      <c r="I24" s="2"/>
      <c r="J24" s="2" t="s">
        <v>9</v>
      </c>
      <c r="K24" s="3">
        <f>AVERAGE(H14:H19)</f>
        <v>0.33416666666666667</v>
      </c>
    </row>
    <row r="25" spans="1:14" x14ac:dyDescent="0.25">
      <c r="A25" s="2" t="str">
        <f t="shared" si="0"/>
        <v>Moderate</v>
      </c>
      <c r="B25" s="3">
        <f t="shared" si="1"/>
        <v>0.6</v>
      </c>
      <c r="C25" s="3">
        <f t="shared" si="1"/>
        <v>0.4</v>
      </c>
      <c r="D25" s="3">
        <f t="shared" si="2"/>
        <v>9.4399999999999998E-2</v>
      </c>
      <c r="E25" s="2"/>
      <c r="F25" s="2" t="str">
        <f t="shared" si="3"/>
        <v>Moderate</v>
      </c>
      <c r="G25" s="4">
        <f t="shared" si="4"/>
        <v>4.0000000000000001E-3</v>
      </c>
      <c r="H25" s="3">
        <f t="shared" si="4"/>
        <v>9.4399999999999998E-2</v>
      </c>
      <c r="I25" s="2"/>
      <c r="J25" s="2" t="s">
        <v>10</v>
      </c>
      <c r="K25" s="3">
        <f>AVERAGE(I14:I19)</f>
        <v>0.22916666666666666</v>
      </c>
    </row>
    <row r="26" spans="1:14" x14ac:dyDescent="0.25">
      <c r="A26" s="2" t="str">
        <f t="shared" si="0"/>
        <v>Moderate Aggressive</v>
      </c>
      <c r="B26" s="3">
        <f t="shared" si="1"/>
        <v>0.74</v>
      </c>
      <c r="C26" s="3">
        <f t="shared" si="1"/>
        <v>0.26</v>
      </c>
      <c r="D26" s="3">
        <f t="shared" si="2"/>
        <v>0.1041</v>
      </c>
      <c r="E26" s="2"/>
      <c r="F26" s="2" t="str">
        <f t="shared" si="3"/>
        <v>Moderate Aggressive</v>
      </c>
      <c r="G26" s="4">
        <f t="shared" si="4"/>
        <v>6.8999999999999999E-3</v>
      </c>
      <c r="H26" s="3">
        <f t="shared" si="4"/>
        <v>0.1041</v>
      </c>
      <c r="I26" s="2"/>
      <c r="J26" s="2" t="s">
        <v>11</v>
      </c>
      <c r="K26" s="3">
        <f>AVERAGE(J14:J19)</f>
        <v>6.5833333333333341E-2</v>
      </c>
    </row>
    <row r="27" spans="1:14" x14ac:dyDescent="0.25">
      <c r="A27" s="2" t="str">
        <f t="shared" si="0"/>
        <v>Aggressive</v>
      </c>
      <c r="B27" s="3">
        <f t="shared" si="1"/>
        <v>0.99</v>
      </c>
      <c r="C27" s="3">
        <f t="shared" si="1"/>
        <v>0.01</v>
      </c>
      <c r="D27" s="3">
        <f t="shared" si="2"/>
        <v>0.11840000000000001</v>
      </c>
      <c r="E27" s="2"/>
      <c r="F27" s="2" t="str">
        <f t="shared" si="3"/>
        <v>Aggressive</v>
      </c>
      <c r="G27" s="4">
        <f t="shared" si="4"/>
        <v>3.7000000000000002E-3</v>
      </c>
      <c r="H27" s="3">
        <f t="shared" si="4"/>
        <v>0.11840000000000001</v>
      </c>
      <c r="I27" s="2"/>
      <c r="J27" s="2" t="s">
        <v>47</v>
      </c>
      <c r="K27" s="3">
        <f>AVERAGE(K14:K19)</f>
        <v>2.9166666666666664E-2</v>
      </c>
    </row>
    <row r="28" spans="1:14" x14ac:dyDescent="0.25">
      <c r="A28" s="2" t="str">
        <f t="shared" si="0"/>
        <v>Aggressive</v>
      </c>
      <c r="B28" s="3">
        <f t="shared" ref="B28" si="5">C19</f>
        <v>0.86499999999999999</v>
      </c>
      <c r="C28" s="3">
        <f t="shared" ref="C28" si="6">D19</f>
        <v>0.13500000000000001</v>
      </c>
      <c r="D28" s="3">
        <f t="shared" si="2"/>
        <v>0.12620000000000001</v>
      </c>
      <c r="E28" s="2"/>
      <c r="F28" s="2" t="str">
        <f t="shared" si="3"/>
        <v>Aggressive</v>
      </c>
      <c r="G28" s="4">
        <f t="shared" ref="G28" si="7">M19</f>
        <v>4.3E-3</v>
      </c>
      <c r="H28" s="3">
        <f t="shared" ref="H28" si="8">N19</f>
        <v>0.12620000000000001</v>
      </c>
      <c r="I28" s="5"/>
      <c r="J28" s="5" t="s">
        <v>48</v>
      </c>
      <c r="K28" s="6">
        <f>AVERAGE(L14:L19)</f>
        <v>9.6666666666666679E-2</v>
      </c>
    </row>
    <row r="50" spans="8:14" x14ac:dyDescent="0.25">
      <c r="H50" s="79" t="s">
        <v>53</v>
      </c>
      <c r="I50" s="80"/>
      <c r="J50" s="80"/>
      <c r="K50" s="80"/>
      <c r="L50" s="80"/>
      <c r="M50" s="80"/>
      <c r="N50" s="80"/>
    </row>
    <row r="51" spans="8:14" ht="60" x14ac:dyDescent="0.25">
      <c r="H51" s="9">
        <v>1</v>
      </c>
      <c r="I51" s="10" t="s">
        <v>54</v>
      </c>
      <c r="J51" s="11" t="s">
        <v>159</v>
      </c>
    </row>
    <row r="52" spans="8:14" ht="60" x14ac:dyDescent="0.25">
      <c r="H52" s="12">
        <v>2</v>
      </c>
      <c r="I52" s="13" t="s">
        <v>160</v>
      </c>
      <c r="J52" s="14" t="s">
        <v>161</v>
      </c>
    </row>
    <row r="53" spans="8:14" ht="60" x14ac:dyDescent="0.25">
      <c r="H53" s="12">
        <v>3</v>
      </c>
      <c r="I53" s="13" t="s">
        <v>162</v>
      </c>
      <c r="J53" s="14" t="s">
        <v>163</v>
      </c>
    </row>
    <row r="54" spans="8:14" ht="75" x14ac:dyDescent="0.25">
      <c r="H54" s="12">
        <v>4</v>
      </c>
      <c r="I54" s="13" t="s">
        <v>164</v>
      </c>
      <c r="J54" s="14" t="s">
        <v>173</v>
      </c>
    </row>
    <row r="55" spans="8:14" ht="30" x14ac:dyDescent="0.25">
      <c r="H55" s="15">
        <v>5</v>
      </c>
      <c r="I55" s="16" t="s">
        <v>165</v>
      </c>
      <c r="J55" s="17" t="s">
        <v>166</v>
      </c>
    </row>
  </sheetData>
  <mergeCells count="17">
    <mergeCell ref="A1:N1"/>
    <mergeCell ref="A2:N2"/>
    <mergeCell ref="A4:C4"/>
    <mergeCell ref="A5:C5"/>
    <mergeCell ref="A6:C6"/>
    <mergeCell ref="D4:F4"/>
    <mergeCell ref="D5:F5"/>
    <mergeCell ref="D6:F6"/>
    <mergeCell ref="G4:I4"/>
    <mergeCell ref="G5:I5"/>
    <mergeCell ref="H50:N50"/>
    <mergeCell ref="G6:I6"/>
    <mergeCell ref="J4:L4"/>
    <mergeCell ref="J5:L5"/>
    <mergeCell ref="J6:L6"/>
    <mergeCell ref="A8:N8"/>
    <mergeCell ref="A9:N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2"/>
  <sheetViews>
    <sheetView workbookViewId="0">
      <pane xSplit="3" ySplit="7" topLeftCell="D8" activePane="bottomRight" state="frozen"/>
      <selection pane="topRight"/>
      <selection pane="bottomLeft"/>
      <selection pane="bottomRight" activeCell="B18" sqref="B18:S18"/>
    </sheetView>
  </sheetViews>
  <sheetFormatPr defaultRowHeight="15" x14ac:dyDescent="0.25"/>
  <cols>
    <col min="1" max="1" width="2" customWidth="1"/>
    <col min="2" max="2" width="23.85546875" style="36" customWidth="1"/>
    <col min="3" max="3" width="40" style="36" customWidth="1"/>
    <col min="4" max="11" width="14.85546875" style="36" customWidth="1"/>
    <col min="12" max="17" width="18.140625" style="36" customWidth="1"/>
    <col min="18" max="18" width="21" style="36" customWidth="1"/>
    <col min="19" max="19" width="25.7109375" style="36" customWidth="1"/>
    <col min="20" max="20" width="11.7109375" customWidth="1"/>
  </cols>
  <sheetData>
    <row r="2" spans="2:20" ht="23.25" x14ac:dyDescent="0.35"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2:20" x14ac:dyDescent="0.25">
      <c r="B3" s="94" t="s">
        <v>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</row>
    <row r="5" spans="2:20" x14ac:dyDescent="0.25">
      <c r="B5" s="21" t="s">
        <v>2</v>
      </c>
      <c r="C5" s="22" t="s">
        <v>3</v>
      </c>
      <c r="D5" s="23"/>
      <c r="E5" s="24" t="s">
        <v>4</v>
      </c>
      <c r="F5" s="23"/>
      <c r="G5" s="25" t="s">
        <v>5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7" spans="2:20" ht="42" customHeight="1" x14ac:dyDescent="0.25">
      <c r="B7" s="18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19" t="s">
        <v>13</v>
      </c>
      <c r="J7" s="19" t="s">
        <v>14</v>
      </c>
      <c r="K7" s="19" t="s">
        <v>15</v>
      </c>
      <c r="L7" s="19" t="s">
        <v>55</v>
      </c>
      <c r="M7" s="19" t="s">
        <v>46</v>
      </c>
      <c r="N7" s="19" t="s">
        <v>43</v>
      </c>
      <c r="O7" s="19" t="s">
        <v>56</v>
      </c>
      <c r="P7" s="19" t="s">
        <v>16</v>
      </c>
      <c r="Q7" s="19" t="s">
        <v>17</v>
      </c>
      <c r="R7" s="19" t="s">
        <v>18</v>
      </c>
      <c r="S7" s="20" t="s">
        <v>19</v>
      </c>
      <c r="T7" s="71" t="s">
        <v>167</v>
      </c>
    </row>
    <row r="8" spans="2:20" x14ac:dyDescent="0.25">
      <c r="B8" s="26" t="s">
        <v>20</v>
      </c>
      <c r="C8" s="27" t="s">
        <v>21</v>
      </c>
      <c r="D8" s="28">
        <v>0</v>
      </c>
      <c r="E8" s="28">
        <v>0</v>
      </c>
      <c r="F8" s="28">
        <v>0.56999999999999995</v>
      </c>
      <c r="G8" s="28">
        <v>8.5000000000000006E-2</v>
      </c>
      <c r="H8" s="28">
        <v>0.03</v>
      </c>
      <c r="I8" s="28">
        <v>0</v>
      </c>
      <c r="J8" s="28">
        <v>0.3</v>
      </c>
      <c r="K8" s="28">
        <v>1.4999999999999999E-2</v>
      </c>
      <c r="L8" s="37">
        <f t="shared" ref="L8:M13" si="0">SUM(D8,F8,H8,J8)</f>
        <v>0.89999999999999991</v>
      </c>
      <c r="M8" s="37">
        <f t="shared" si="0"/>
        <v>0.1</v>
      </c>
      <c r="N8" s="37">
        <f t="shared" ref="N8:N13" si="1">SUM(D8:E8,H8:I8)</f>
        <v>0.03</v>
      </c>
      <c r="O8" s="37">
        <f t="shared" ref="O8:O13" si="2">SUM(F8:G8,J8:K8)</f>
        <v>0.96999999999999986</v>
      </c>
      <c r="P8" s="29">
        <f t="shared" ref="P8:P13" si="3">SUM(D8:K8)</f>
        <v>0.99999999999999989</v>
      </c>
      <c r="Q8" s="30">
        <v>4.4999999999999997E-3</v>
      </c>
      <c r="R8" s="31">
        <v>0.01</v>
      </c>
      <c r="S8" s="32">
        <v>2.1100000000000001E-2</v>
      </c>
      <c r="T8" s="70" t="s">
        <v>168</v>
      </c>
    </row>
    <row r="9" spans="2:20" x14ac:dyDescent="0.25">
      <c r="B9" s="26" t="s">
        <v>22</v>
      </c>
      <c r="C9" s="27" t="s">
        <v>23</v>
      </c>
      <c r="D9" s="28">
        <v>0.25</v>
      </c>
      <c r="E9" s="28">
        <v>0.14000000000000001</v>
      </c>
      <c r="F9" s="28">
        <v>0.39</v>
      </c>
      <c r="G9" s="28">
        <v>8.5000000000000006E-2</v>
      </c>
      <c r="H9" s="28">
        <v>3.5000000000000003E-2</v>
      </c>
      <c r="I9" s="28">
        <v>0</v>
      </c>
      <c r="J9" s="28">
        <v>0.1</v>
      </c>
      <c r="K9" s="28">
        <v>0</v>
      </c>
      <c r="L9" s="37">
        <f t="shared" si="0"/>
        <v>0.77500000000000002</v>
      </c>
      <c r="M9" s="37">
        <f t="shared" si="0"/>
        <v>0.22500000000000003</v>
      </c>
      <c r="N9" s="37">
        <f t="shared" si="1"/>
        <v>0.42500000000000004</v>
      </c>
      <c r="O9" s="37">
        <f t="shared" si="2"/>
        <v>0.57500000000000007</v>
      </c>
      <c r="P9" s="29">
        <f t="shared" si="3"/>
        <v>1</v>
      </c>
      <c r="Q9" s="30">
        <v>6.6E-3</v>
      </c>
      <c r="R9" s="31">
        <v>2.5000000000000001E-2</v>
      </c>
      <c r="S9" s="32">
        <v>7.6700000000000004E-2</v>
      </c>
      <c r="T9" s="70" t="s">
        <v>168</v>
      </c>
    </row>
    <row r="10" spans="2:20" x14ac:dyDescent="0.25">
      <c r="B10" s="26" t="s">
        <v>24</v>
      </c>
      <c r="C10" s="27" t="s">
        <v>25</v>
      </c>
      <c r="D10" s="28">
        <v>0.31</v>
      </c>
      <c r="E10" s="28">
        <v>0.255</v>
      </c>
      <c r="F10" s="28">
        <v>0.25</v>
      </c>
      <c r="G10" s="28">
        <v>5.5E-2</v>
      </c>
      <c r="H10" s="28">
        <v>3.5000000000000003E-2</v>
      </c>
      <c r="I10" s="28">
        <v>0</v>
      </c>
      <c r="J10" s="28">
        <v>9.5000000000000001E-2</v>
      </c>
      <c r="K10" s="28">
        <v>0</v>
      </c>
      <c r="L10" s="37">
        <f t="shared" si="0"/>
        <v>0.69000000000000006</v>
      </c>
      <c r="M10" s="37">
        <f t="shared" si="0"/>
        <v>0.31</v>
      </c>
      <c r="N10" s="37">
        <f t="shared" si="1"/>
        <v>0.6</v>
      </c>
      <c r="O10" s="37">
        <f t="shared" si="2"/>
        <v>0.4</v>
      </c>
      <c r="P10" s="29">
        <f t="shared" si="3"/>
        <v>1</v>
      </c>
      <c r="Q10" s="30">
        <v>4.0000000000000001E-3</v>
      </c>
      <c r="R10" s="31">
        <v>3.5000000000000003E-2</v>
      </c>
      <c r="S10" s="32">
        <v>9.4399999999999998E-2</v>
      </c>
      <c r="T10" s="70" t="s">
        <v>168</v>
      </c>
    </row>
    <row r="11" spans="2:20" x14ac:dyDescent="0.25">
      <c r="B11" s="26" t="s">
        <v>26</v>
      </c>
      <c r="C11" s="27" t="s">
        <v>27</v>
      </c>
      <c r="D11" s="28">
        <v>0.43</v>
      </c>
      <c r="E11" s="28">
        <v>0.28000000000000003</v>
      </c>
      <c r="F11" s="28">
        <v>0.16500000000000001</v>
      </c>
      <c r="G11" s="28">
        <v>6.5000000000000002E-2</v>
      </c>
      <c r="H11" s="28">
        <v>0.03</v>
      </c>
      <c r="I11" s="28">
        <v>0</v>
      </c>
      <c r="J11" s="28">
        <v>0.03</v>
      </c>
      <c r="K11" s="28">
        <v>0</v>
      </c>
      <c r="L11" s="37">
        <f t="shared" si="0"/>
        <v>0.65500000000000003</v>
      </c>
      <c r="M11" s="37">
        <f t="shared" si="0"/>
        <v>0.34500000000000003</v>
      </c>
      <c r="N11" s="37">
        <f t="shared" si="1"/>
        <v>0.74</v>
      </c>
      <c r="O11" s="37">
        <f t="shared" si="2"/>
        <v>0.26</v>
      </c>
      <c r="P11" s="29">
        <f t="shared" si="3"/>
        <v>1</v>
      </c>
      <c r="Q11" s="30">
        <v>6.8999999999999999E-3</v>
      </c>
      <c r="R11" s="31">
        <v>0.05</v>
      </c>
      <c r="S11" s="32">
        <v>0.1041</v>
      </c>
      <c r="T11" s="70" t="s">
        <v>168</v>
      </c>
    </row>
    <row r="12" spans="2:20" x14ac:dyDescent="0.25">
      <c r="B12" s="26" t="s">
        <v>28</v>
      </c>
      <c r="C12" s="27" t="s">
        <v>57</v>
      </c>
      <c r="D12" s="28">
        <v>0.47499999999999998</v>
      </c>
      <c r="E12" s="28">
        <v>0.49</v>
      </c>
      <c r="F12" s="28">
        <v>0</v>
      </c>
      <c r="G12" s="28">
        <v>0</v>
      </c>
      <c r="H12" s="28">
        <v>2.5000000000000001E-2</v>
      </c>
      <c r="I12" s="28">
        <v>0</v>
      </c>
      <c r="J12" s="28">
        <v>0.01</v>
      </c>
      <c r="K12" s="28">
        <v>0</v>
      </c>
      <c r="L12" s="37">
        <f t="shared" si="0"/>
        <v>0.51</v>
      </c>
      <c r="M12" s="37">
        <f t="shared" si="0"/>
        <v>0.49</v>
      </c>
      <c r="N12" s="37">
        <f t="shared" si="1"/>
        <v>0.99</v>
      </c>
      <c r="O12" s="37">
        <f t="shared" si="2"/>
        <v>0.01</v>
      </c>
      <c r="P12" s="29">
        <f t="shared" si="3"/>
        <v>1</v>
      </c>
      <c r="Q12" s="30">
        <v>3.7000000000000002E-3</v>
      </c>
      <c r="R12" s="31">
        <v>6.5000000000000002E-2</v>
      </c>
      <c r="S12" s="32">
        <v>0.11840000000000001</v>
      </c>
      <c r="T12" s="70" t="s">
        <v>168</v>
      </c>
    </row>
    <row r="13" spans="2:20" x14ac:dyDescent="0.25">
      <c r="B13" s="33" t="s">
        <v>28</v>
      </c>
      <c r="C13" s="34" t="s">
        <v>58</v>
      </c>
      <c r="D13" s="28">
        <v>5.0000000000000001E-3</v>
      </c>
      <c r="E13" s="28">
        <v>0.84</v>
      </c>
      <c r="F13" s="28">
        <v>0</v>
      </c>
      <c r="G13" s="28">
        <v>0.105</v>
      </c>
      <c r="H13" s="28">
        <v>0.02</v>
      </c>
      <c r="I13" s="28">
        <v>0</v>
      </c>
      <c r="J13" s="28">
        <v>0.03</v>
      </c>
      <c r="K13" s="28">
        <v>0</v>
      </c>
      <c r="L13" s="38">
        <f t="shared" si="0"/>
        <v>5.5E-2</v>
      </c>
      <c r="M13" s="38">
        <f t="shared" si="0"/>
        <v>0.94499999999999995</v>
      </c>
      <c r="N13" s="38">
        <f t="shared" si="1"/>
        <v>0.86499999999999999</v>
      </c>
      <c r="O13" s="38">
        <f t="shared" si="2"/>
        <v>0.13500000000000001</v>
      </c>
      <c r="P13" s="35">
        <f t="shared" si="3"/>
        <v>1</v>
      </c>
      <c r="Q13" s="30">
        <v>4.3E-3</v>
      </c>
      <c r="R13" s="31">
        <v>7.0000000000000007E-2</v>
      </c>
      <c r="S13" s="32">
        <v>0.12620000000000001</v>
      </c>
      <c r="T13" s="70" t="s">
        <v>168</v>
      </c>
    </row>
    <row r="14" spans="2:20" x14ac:dyDescent="0.25">
      <c r="B14" s="96" t="s">
        <v>59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</row>
    <row r="16" spans="2:20" x14ac:dyDescent="0.25">
      <c r="B16" s="98" t="s">
        <v>29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</row>
    <row r="17" spans="2:19" ht="30" customHeight="1" x14ac:dyDescent="0.25">
      <c r="B17" s="100" t="s">
        <v>30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</row>
    <row r="18" spans="2:19" ht="30" customHeight="1" x14ac:dyDescent="0.25">
      <c r="B18" s="102" t="s">
        <v>31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</row>
    <row r="19" spans="2:19" ht="30" customHeight="1" x14ac:dyDescent="0.25">
      <c r="B19" s="102" t="s">
        <v>32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</row>
    <row r="20" spans="2:19" ht="30" customHeight="1" x14ac:dyDescent="0.25">
      <c r="B20" s="102" t="s">
        <v>33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</row>
    <row r="21" spans="2:19" ht="30" customHeight="1" x14ac:dyDescent="0.25">
      <c r="B21" s="102" t="s">
        <v>34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</row>
    <row r="22" spans="2:19" ht="30" customHeight="1" x14ac:dyDescent="0.25">
      <c r="B22" s="90" t="s">
        <v>169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</row>
  </sheetData>
  <mergeCells count="10">
    <mergeCell ref="B22:S22"/>
    <mergeCell ref="B2:S2"/>
    <mergeCell ref="B3:S3"/>
    <mergeCell ref="B14:S14"/>
    <mergeCell ref="B16:S16"/>
    <mergeCell ref="B17:S17"/>
    <mergeCell ref="B18:S18"/>
    <mergeCell ref="B21:S21"/>
    <mergeCell ref="B19:S19"/>
    <mergeCell ref="B20:S20"/>
  </mergeCells>
  <conditionalFormatting sqref="P8:P13">
    <cfRule type="cellIs" dxfId="0" priority="1" operator="notEqual">
      <formula>1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4CF3-EEC9-46A7-A2B1-92B524D58424}">
  <dimension ref="A1:L91"/>
  <sheetViews>
    <sheetView workbookViewId="0"/>
  </sheetViews>
  <sheetFormatPr defaultRowHeight="15" x14ac:dyDescent="0.25"/>
  <cols>
    <col min="1" max="1" width="28.7109375" customWidth="1"/>
    <col min="2" max="2" width="26.7109375" customWidth="1"/>
    <col min="3" max="3" width="12.7109375" customWidth="1"/>
    <col min="4" max="4" width="26.7109375" customWidth="1"/>
    <col min="5" max="6" width="9.7109375" customWidth="1"/>
    <col min="7" max="7" width="14.7109375" customWidth="1"/>
    <col min="8" max="10" width="9.7109375" customWidth="1"/>
    <col min="11" max="11" width="42.7109375" customWidth="1"/>
    <col min="12" max="12" width="13.7109375" customWidth="1"/>
  </cols>
  <sheetData>
    <row r="1" spans="1:12" ht="18" x14ac:dyDescent="0.25">
      <c r="A1" s="40" t="s">
        <v>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25">
      <c r="A4" s="42" t="s">
        <v>61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30" customHeight="1" x14ac:dyDescent="0.25">
      <c r="A5" s="43" t="s">
        <v>118</v>
      </c>
      <c r="B5" s="43" t="s">
        <v>63</v>
      </c>
      <c r="C5" s="43" t="s">
        <v>64</v>
      </c>
      <c r="D5" s="43" t="s">
        <v>65</v>
      </c>
      <c r="E5" s="43" t="s">
        <v>49</v>
      </c>
      <c r="F5" s="43" t="s">
        <v>66</v>
      </c>
      <c r="G5" s="43" t="s">
        <v>67</v>
      </c>
      <c r="H5" s="43" t="s">
        <v>68</v>
      </c>
      <c r="I5" s="43" t="s">
        <v>69</v>
      </c>
      <c r="J5" s="43" t="s">
        <v>70</v>
      </c>
      <c r="K5" s="43" t="s">
        <v>71</v>
      </c>
      <c r="L5" s="39"/>
    </row>
    <row r="6" spans="1:12" x14ac:dyDescent="0.25">
      <c r="A6" s="39" t="s">
        <v>73</v>
      </c>
      <c r="B6" s="39" t="s">
        <v>74</v>
      </c>
      <c r="C6" s="49" t="s">
        <v>119</v>
      </c>
      <c r="D6" s="39" t="s">
        <v>75</v>
      </c>
      <c r="E6" s="44">
        <v>8.6999999999999994E-3</v>
      </c>
      <c r="F6" s="44">
        <v>8.6999999999999994E-3</v>
      </c>
      <c r="G6" s="44">
        <v>2.7E-2</v>
      </c>
      <c r="H6" s="44">
        <v>9.8000000000000004E-2</v>
      </c>
      <c r="I6" s="44">
        <v>0.11</v>
      </c>
      <c r="J6" s="44">
        <v>8.8999999999999996E-2</v>
      </c>
      <c r="K6" s="39" t="s">
        <v>76</v>
      </c>
      <c r="L6" s="39"/>
    </row>
    <row r="7" spans="1:12" x14ac:dyDescent="0.25">
      <c r="A7" s="47" t="s">
        <v>77</v>
      </c>
      <c r="B7" s="47" t="s">
        <v>78</v>
      </c>
      <c r="C7" s="57" t="s">
        <v>120</v>
      </c>
      <c r="D7" s="47" t="s">
        <v>79</v>
      </c>
      <c r="E7" s="48">
        <v>3.0000000000000001E-3</v>
      </c>
      <c r="F7" s="48">
        <v>3.0000000000000001E-3</v>
      </c>
      <c r="G7" s="48"/>
      <c r="H7" s="48">
        <v>8.1000000000000003E-2</v>
      </c>
      <c r="I7" s="48">
        <v>7.0999999999999994E-2</v>
      </c>
      <c r="J7" s="48">
        <v>7.9000000000000001E-2</v>
      </c>
      <c r="K7" s="47" t="s">
        <v>80</v>
      </c>
      <c r="L7" s="39"/>
    </row>
    <row r="8" spans="1:12" x14ac:dyDescent="0.25">
      <c r="A8" s="39" t="s">
        <v>82</v>
      </c>
      <c r="B8" s="39" t="s">
        <v>74</v>
      </c>
      <c r="C8" s="49" t="s">
        <v>119</v>
      </c>
      <c r="D8" s="39" t="s">
        <v>83</v>
      </c>
      <c r="E8" s="44">
        <v>1.35E-2</v>
      </c>
      <c r="F8" s="44">
        <v>1.41E-2</v>
      </c>
      <c r="G8" s="44">
        <v>6.7000000000000004E-2</v>
      </c>
      <c r="H8" s="44">
        <v>0.13500000000000001</v>
      </c>
      <c r="I8" s="44">
        <v>0.124</v>
      </c>
      <c r="J8" s="44">
        <v>0.111</v>
      </c>
      <c r="K8" s="39" t="s">
        <v>84</v>
      </c>
      <c r="L8" s="39"/>
    </row>
    <row r="9" spans="1:12" x14ac:dyDescent="0.25">
      <c r="A9" s="47" t="s">
        <v>85</v>
      </c>
      <c r="B9" s="47" t="s">
        <v>86</v>
      </c>
      <c r="C9" s="57" t="s">
        <v>120</v>
      </c>
      <c r="D9" s="47" t="s">
        <v>83</v>
      </c>
      <c r="E9" s="48">
        <v>4.4999999999999997E-3</v>
      </c>
      <c r="F9" s="48">
        <v>4.7000000000000002E-3</v>
      </c>
      <c r="G9" s="48">
        <v>5.2999999999999999E-2</v>
      </c>
      <c r="H9" s="48">
        <v>0.159</v>
      </c>
      <c r="I9" s="48">
        <v>0.127</v>
      </c>
      <c r="J9" s="48">
        <v>0.109</v>
      </c>
      <c r="K9" s="47" t="s">
        <v>87</v>
      </c>
      <c r="L9" s="39"/>
    </row>
    <row r="10" spans="1:12" x14ac:dyDescent="0.25">
      <c r="A10" s="39" t="s">
        <v>88</v>
      </c>
      <c r="B10" s="39" t="s">
        <v>74</v>
      </c>
      <c r="C10" s="49" t="s">
        <v>119</v>
      </c>
      <c r="D10" s="39" t="s">
        <v>89</v>
      </c>
      <c r="E10" s="44">
        <v>1.41E-2</v>
      </c>
      <c r="F10" s="44">
        <v>1.4999999999999999E-2</v>
      </c>
      <c r="G10" s="44">
        <v>0.106</v>
      </c>
      <c r="H10" s="44">
        <v>0.115</v>
      </c>
      <c r="I10" s="44">
        <v>0.125</v>
      </c>
      <c r="J10" s="44">
        <v>0.12</v>
      </c>
      <c r="K10" s="39" t="s">
        <v>90</v>
      </c>
      <c r="L10" s="39"/>
    </row>
    <row r="11" spans="1:12" x14ac:dyDescent="0.25">
      <c r="A11" s="47" t="s">
        <v>91</v>
      </c>
      <c r="B11" s="47" t="s">
        <v>86</v>
      </c>
      <c r="C11" s="57" t="s">
        <v>120</v>
      </c>
      <c r="D11" s="47" t="s">
        <v>89</v>
      </c>
      <c r="E11" s="48">
        <v>4.4999999999999997E-3</v>
      </c>
      <c r="F11" s="48">
        <v>4.7000000000000002E-3</v>
      </c>
      <c r="G11" s="48">
        <v>0.08</v>
      </c>
      <c r="H11" s="48">
        <v>0.187</v>
      </c>
      <c r="I11" s="48">
        <v>0.15</v>
      </c>
      <c r="J11" s="48">
        <v>0.129</v>
      </c>
      <c r="K11" s="47" t="s">
        <v>92</v>
      </c>
      <c r="L11" s="39"/>
    </row>
    <row r="12" spans="1:12" x14ac:dyDescent="0.25">
      <c r="A12" s="39" t="s">
        <v>121</v>
      </c>
      <c r="B12" s="39" t="s">
        <v>122</v>
      </c>
      <c r="C12" s="49" t="s">
        <v>119</v>
      </c>
      <c r="D12" s="39" t="s">
        <v>123</v>
      </c>
      <c r="E12" s="44">
        <v>3.7000000000000002E-3</v>
      </c>
      <c r="F12" s="44">
        <v>3.8E-3</v>
      </c>
      <c r="G12" s="44">
        <v>0.15040000000000001</v>
      </c>
      <c r="H12" s="44">
        <v>0.19950000000000001</v>
      </c>
      <c r="I12" s="44">
        <v>0.19769999999999999</v>
      </c>
      <c r="J12" s="44">
        <v>0.14860000000000001</v>
      </c>
      <c r="K12" s="39" t="s">
        <v>124</v>
      </c>
      <c r="L12" s="39"/>
    </row>
    <row r="13" spans="1:12" x14ac:dyDescent="0.25">
      <c r="A13" s="47" t="s">
        <v>125</v>
      </c>
      <c r="B13" s="47" t="s">
        <v>126</v>
      </c>
      <c r="C13" s="57" t="s">
        <v>120</v>
      </c>
      <c r="D13" s="47" t="s">
        <v>127</v>
      </c>
      <c r="E13" s="48">
        <v>6.8999999999999999E-3</v>
      </c>
      <c r="F13" s="48">
        <v>7.1999999999999998E-3</v>
      </c>
      <c r="G13" s="48"/>
      <c r="H13" s="48">
        <v>0.13550000000000001</v>
      </c>
      <c r="I13" s="48">
        <v>0.13139999999999999</v>
      </c>
      <c r="J13" s="48">
        <v>0.1487</v>
      </c>
      <c r="K13" s="47" t="s">
        <v>128</v>
      </c>
      <c r="L13" s="39"/>
    </row>
    <row r="14" spans="1:12" x14ac:dyDescent="0.25">
      <c r="A14" s="39" t="s">
        <v>143</v>
      </c>
      <c r="B14" s="39" t="s">
        <v>74</v>
      </c>
      <c r="C14" s="49" t="s">
        <v>119</v>
      </c>
      <c r="D14" s="39" t="s">
        <v>144</v>
      </c>
      <c r="E14" s="44">
        <v>5.1000000000000004E-3</v>
      </c>
      <c r="F14" s="44">
        <v>5.1000000000000004E-3</v>
      </c>
      <c r="G14" s="44">
        <v>0.114</v>
      </c>
      <c r="H14" s="44">
        <v>7.0999999999999994E-2</v>
      </c>
      <c r="I14" s="44">
        <v>9.1999999999999998E-2</v>
      </c>
      <c r="J14" s="44">
        <v>0.1</v>
      </c>
      <c r="K14" s="39" t="s">
        <v>145</v>
      </c>
      <c r="L14" s="39"/>
    </row>
    <row r="15" spans="1:12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25">
      <c r="A16" s="42" t="s">
        <v>116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 x14ac:dyDescent="0.25">
      <c r="A17" s="41" t="s">
        <v>117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ht="30" customHeight="1" x14ac:dyDescent="0.25">
      <c r="A18" s="43" t="s">
        <v>118</v>
      </c>
      <c r="B18" s="43" t="s">
        <v>8</v>
      </c>
      <c r="C18" s="43" t="s">
        <v>9</v>
      </c>
      <c r="D18" s="43" t="s">
        <v>10</v>
      </c>
      <c r="E18" s="43" t="s">
        <v>11</v>
      </c>
      <c r="F18" s="43" t="s">
        <v>12</v>
      </c>
      <c r="G18" s="43" t="s">
        <v>13</v>
      </c>
      <c r="H18" s="43" t="s">
        <v>14</v>
      </c>
      <c r="I18" s="43" t="s">
        <v>15</v>
      </c>
      <c r="J18" s="43" t="s">
        <v>96</v>
      </c>
      <c r="K18" s="39"/>
      <c r="L18" s="39"/>
    </row>
    <row r="19" spans="1:12" x14ac:dyDescent="0.25">
      <c r="A19" s="39" t="s">
        <v>73</v>
      </c>
      <c r="B19" s="45">
        <v>0</v>
      </c>
      <c r="C19" s="45">
        <v>0</v>
      </c>
      <c r="D19" s="45">
        <v>0.64</v>
      </c>
      <c r="E19" s="45">
        <v>0.12</v>
      </c>
      <c r="F19" s="45">
        <v>4.4999999999999998E-2</v>
      </c>
      <c r="G19" s="45">
        <v>2E-3</v>
      </c>
      <c r="H19" s="45">
        <v>0.192</v>
      </c>
      <c r="I19" s="45">
        <v>1E-3</v>
      </c>
      <c r="J19" s="46">
        <f t="shared" ref="J19:J26" si="0">SUM(B19:I19)</f>
        <v>1</v>
      </c>
      <c r="K19" s="39"/>
      <c r="L19" s="39"/>
    </row>
    <row r="20" spans="1:12" x14ac:dyDescent="0.25">
      <c r="A20" s="39" t="s">
        <v>77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1</v>
      </c>
      <c r="I20" s="45">
        <v>0</v>
      </c>
      <c r="J20" s="46">
        <f t="shared" si="0"/>
        <v>1</v>
      </c>
      <c r="K20" s="39"/>
      <c r="L20" s="39"/>
    </row>
    <row r="21" spans="1:12" x14ac:dyDescent="0.25">
      <c r="A21" s="39" t="s">
        <v>82</v>
      </c>
      <c r="B21" s="45">
        <v>0.25700000000000001</v>
      </c>
      <c r="C21" s="45">
        <v>9.8000000000000004E-2</v>
      </c>
      <c r="D21" s="45">
        <v>0.43</v>
      </c>
      <c r="E21" s="45">
        <v>0.109</v>
      </c>
      <c r="F21" s="45">
        <v>4.1000000000000002E-2</v>
      </c>
      <c r="G21" s="45">
        <v>0</v>
      </c>
      <c r="H21" s="45">
        <v>6.5000000000000002E-2</v>
      </c>
      <c r="I21" s="45">
        <v>0</v>
      </c>
      <c r="J21" s="46">
        <f t="shared" si="0"/>
        <v>1</v>
      </c>
      <c r="K21" s="39"/>
      <c r="L21" s="39"/>
    </row>
    <row r="22" spans="1:12" x14ac:dyDescent="0.25">
      <c r="A22" s="39" t="s">
        <v>85</v>
      </c>
      <c r="B22" s="45">
        <v>0.223</v>
      </c>
      <c r="C22" s="45">
        <v>0.155</v>
      </c>
      <c r="D22" s="45">
        <v>0.26300000000000001</v>
      </c>
      <c r="E22" s="45">
        <v>4.4999999999999998E-2</v>
      </c>
      <c r="F22" s="45">
        <v>2.9000000000000001E-2</v>
      </c>
      <c r="G22" s="45">
        <v>0.03</v>
      </c>
      <c r="H22" s="45">
        <v>0.23599999999999999</v>
      </c>
      <c r="I22" s="45">
        <v>1.9E-2</v>
      </c>
      <c r="J22" s="46">
        <f t="shared" si="0"/>
        <v>1</v>
      </c>
      <c r="K22" s="39"/>
      <c r="L22" s="39"/>
    </row>
    <row r="23" spans="1:12" x14ac:dyDescent="0.25">
      <c r="A23" s="39" t="s">
        <v>88</v>
      </c>
      <c r="B23" s="45">
        <v>0.441</v>
      </c>
      <c r="C23" s="45">
        <v>0.24199999999999999</v>
      </c>
      <c r="D23" s="45">
        <v>0.151</v>
      </c>
      <c r="E23" s="45">
        <v>7.2999999999999995E-2</v>
      </c>
      <c r="F23" s="45">
        <v>2.5999999999999999E-2</v>
      </c>
      <c r="G23" s="45">
        <v>2E-3</v>
      </c>
      <c r="H23" s="45">
        <v>4.8000000000000001E-2</v>
      </c>
      <c r="I23" s="45">
        <v>1.7000000000000001E-2</v>
      </c>
      <c r="J23" s="46">
        <f t="shared" si="0"/>
        <v>1</v>
      </c>
      <c r="K23" s="39"/>
      <c r="L23" s="39"/>
    </row>
    <row r="24" spans="1:12" x14ac:dyDescent="0.25">
      <c r="A24" s="39" t="s">
        <v>91</v>
      </c>
      <c r="B24" s="45">
        <v>0.39500000000000002</v>
      </c>
      <c r="C24" s="45">
        <v>0.31</v>
      </c>
      <c r="D24" s="45">
        <v>0.122</v>
      </c>
      <c r="E24" s="45">
        <v>6.3E-2</v>
      </c>
      <c r="F24" s="45">
        <v>2.4E-2</v>
      </c>
      <c r="G24" s="45">
        <v>1.6E-2</v>
      </c>
      <c r="H24" s="45">
        <v>5.2999999999999999E-2</v>
      </c>
      <c r="I24" s="45">
        <v>1.7000000000000001E-2</v>
      </c>
      <c r="J24" s="46">
        <f t="shared" si="0"/>
        <v>1.0000000000000002</v>
      </c>
      <c r="K24" s="39"/>
      <c r="L24" s="39"/>
    </row>
    <row r="25" spans="1:12" x14ac:dyDescent="0.25">
      <c r="A25" s="39" t="s">
        <v>121</v>
      </c>
      <c r="B25" s="45">
        <v>0.94299999999999995</v>
      </c>
      <c r="C25" s="45">
        <v>0</v>
      </c>
      <c r="D25" s="45">
        <v>0</v>
      </c>
      <c r="E25" s="45">
        <v>0</v>
      </c>
      <c r="F25" s="45">
        <v>0.05</v>
      </c>
      <c r="G25" s="45">
        <v>0</v>
      </c>
      <c r="H25" s="45">
        <v>7.0000000000000001E-3</v>
      </c>
      <c r="I25" s="45">
        <v>0</v>
      </c>
      <c r="J25" s="46">
        <f t="shared" si="0"/>
        <v>1</v>
      </c>
      <c r="K25" s="39"/>
      <c r="L25" s="39"/>
    </row>
    <row r="26" spans="1:12" x14ac:dyDescent="0.25">
      <c r="A26" s="39" t="s">
        <v>125</v>
      </c>
      <c r="B26" s="45">
        <v>0</v>
      </c>
      <c r="C26" s="45">
        <v>0.99650000000000005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3.5000000000000001E-3</v>
      </c>
      <c r="J26" s="46">
        <f t="shared" si="0"/>
        <v>1</v>
      </c>
      <c r="K26" s="39"/>
      <c r="L26" s="39"/>
    </row>
    <row r="27" spans="1:12" x14ac:dyDescent="0.25">
      <c r="A27" s="39" t="s">
        <v>143</v>
      </c>
      <c r="B27" s="45">
        <v>0</v>
      </c>
      <c r="C27" s="45">
        <v>0.72</v>
      </c>
      <c r="D27" s="45">
        <v>0</v>
      </c>
      <c r="E27" s="45">
        <v>0.19700000000000001</v>
      </c>
      <c r="F27" s="45">
        <v>0</v>
      </c>
      <c r="G27" s="45">
        <v>3.5000000000000003E-2</v>
      </c>
      <c r="H27" s="45">
        <v>1E-3</v>
      </c>
      <c r="I27" s="45">
        <v>4.7E-2</v>
      </c>
      <c r="J27" s="46">
        <f>SUM(B27:I27)</f>
        <v>1</v>
      </c>
      <c r="K27" s="39"/>
      <c r="L27" s="39"/>
    </row>
    <row r="28" spans="1:12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25">
      <c r="A29" s="42" t="s">
        <v>97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ht="25.5" x14ac:dyDescent="0.25">
      <c r="A30" s="43" t="s">
        <v>118</v>
      </c>
      <c r="B30" s="43" t="s">
        <v>98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x14ac:dyDescent="0.25">
      <c r="A31" s="39" t="s">
        <v>73</v>
      </c>
      <c r="B31" s="39" t="s">
        <v>99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x14ac:dyDescent="0.25">
      <c r="A32" s="39" t="s">
        <v>77</v>
      </c>
      <c r="B32" s="39" t="s">
        <v>100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x14ac:dyDescent="0.25">
      <c r="A33" s="39" t="s">
        <v>82</v>
      </c>
      <c r="B33" s="39" t="s">
        <v>129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x14ac:dyDescent="0.25">
      <c r="A34" s="39" t="s">
        <v>85</v>
      </c>
      <c r="B34" s="39" t="s">
        <v>101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x14ac:dyDescent="0.25">
      <c r="A35" s="39" t="s">
        <v>88</v>
      </c>
      <c r="B35" s="39" t="s">
        <v>102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x14ac:dyDescent="0.25">
      <c r="A36" s="39" t="s">
        <v>91</v>
      </c>
      <c r="B36" s="39" t="s">
        <v>103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x14ac:dyDescent="0.25">
      <c r="A37" s="39" t="s">
        <v>121</v>
      </c>
      <c r="B37" s="39" t="s">
        <v>130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x14ac:dyDescent="0.25">
      <c r="A38" s="39" t="s">
        <v>125</v>
      </c>
      <c r="B38" s="39" t="s">
        <v>131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x14ac:dyDescent="0.25">
      <c r="A39" s="39" t="s">
        <v>143</v>
      </c>
      <c r="B39" s="39" t="s">
        <v>146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 x14ac:dyDescent="0.25">
      <c r="A41" s="42" t="s">
        <v>105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ht="25.5" x14ac:dyDescent="0.25">
      <c r="A42" s="43" t="s">
        <v>106</v>
      </c>
      <c r="B42" s="43" t="s">
        <v>62</v>
      </c>
      <c r="C42" s="43" t="s">
        <v>107</v>
      </c>
      <c r="D42" s="43" t="s">
        <v>63</v>
      </c>
      <c r="E42" s="43" t="s">
        <v>111</v>
      </c>
      <c r="F42" s="43" t="s">
        <v>112</v>
      </c>
      <c r="G42" s="39"/>
      <c r="H42" s="39"/>
      <c r="I42" s="39"/>
      <c r="J42" s="39"/>
      <c r="K42" s="39"/>
      <c r="L42" s="39"/>
    </row>
    <row r="43" spans="1:12" x14ac:dyDescent="0.25">
      <c r="A43" s="39" t="s">
        <v>72</v>
      </c>
      <c r="B43" s="39" t="s">
        <v>73</v>
      </c>
      <c r="C43" s="51">
        <v>0.7</v>
      </c>
      <c r="D43" s="39"/>
      <c r="E43" s="44"/>
      <c r="F43" s="45"/>
      <c r="G43" s="39"/>
      <c r="H43" s="39"/>
      <c r="I43" s="39"/>
      <c r="J43" s="39"/>
      <c r="K43" s="39"/>
      <c r="L43" s="39"/>
    </row>
    <row r="44" spans="1:12" x14ac:dyDescent="0.25">
      <c r="A44" s="39"/>
      <c r="B44" s="39" t="s">
        <v>77</v>
      </c>
      <c r="C44" s="51">
        <v>0.3</v>
      </c>
      <c r="D44" s="39"/>
      <c r="E44" s="44"/>
      <c r="F44" s="45">
        <f>C43+C44</f>
        <v>1</v>
      </c>
      <c r="G44" s="39"/>
      <c r="H44" s="39"/>
      <c r="I44" s="39"/>
      <c r="J44" s="39"/>
      <c r="K44" s="39"/>
      <c r="L44" s="39"/>
    </row>
    <row r="45" spans="1:12" x14ac:dyDescent="0.25">
      <c r="A45" s="39" t="s">
        <v>81</v>
      </c>
      <c r="B45" s="39" t="s">
        <v>82</v>
      </c>
      <c r="C45" s="51">
        <v>0.6</v>
      </c>
      <c r="D45" s="39" t="s">
        <v>86</v>
      </c>
      <c r="E45" s="52">
        <v>9.5999999999999992E-3</v>
      </c>
      <c r="F45" s="45"/>
      <c r="G45" s="39"/>
      <c r="H45" s="39"/>
      <c r="I45" s="39"/>
      <c r="J45" s="39"/>
      <c r="K45" s="39"/>
      <c r="L45" s="39"/>
    </row>
    <row r="46" spans="1:12" x14ac:dyDescent="0.25">
      <c r="A46" s="39"/>
      <c r="B46" s="39" t="s">
        <v>85</v>
      </c>
      <c r="C46" s="51">
        <v>0.4</v>
      </c>
      <c r="D46" s="39" t="s">
        <v>113</v>
      </c>
      <c r="E46" s="52">
        <v>3.3999999999999998E-3</v>
      </c>
      <c r="F46" s="45">
        <f>C45+C46</f>
        <v>1</v>
      </c>
      <c r="G46" s="39"/>
      <c r="H46" s="39"/>
      <c r="I46" s="39"/>
      <c r="J46" s="39"/>
      <c r="K46" s="39"/>
      <c r="L46" s="39"/>
    </row>
    <row r="47" spans="1:12" x14ac:dyDescent="0.25">
      <c r="A47" s="39" t="s">
        <v>110</v>
      </c>
      <c r="B47" s="39" t="s">
        <v>91</v>
      </c>
      <c r="C47" s="51">
        <v>0.75</v>
      </c>
      <c r="D47" s="39" t="s">
        <v>113</v>
      </c>
      <c r="E47" s="52">
        <v>3.5999999999999999E-3</v>
      </c>
      <c r="F47" s="45"/>
      <c r="G47" s="39"/>
      <c r="H47" s="39"/>
      <c r="I47" s="39"/>
      <c r="J47" s="39"/>
      <c r="K47" s="39"/>
      <c r="L47" s="39"/>
    </row>
    <row r="48" spans="1:12" x14ac:dyDescent="0.25">
      <c r="A48" s="39"/>
      <c r="B48" s="39" t="s">
        <v>73</v>
      </c>
      <c r="C48" s="51">
        <v>0.25</v>
      </c>
      <c r="D48" s="39"/>
      <c r="E48" s="52"/>
      <c r="F48" s="45">
        <f>C47+C48</f>
        <v>1</v>
      </c>
      <c r="G48" s="39"/>
      <c r="H48" s="39"/>
      <c r="I48" s="39"/>
      <c r="J48" s="39"/>
      <c r="K48" s="39"/>
      <c r="L48" s="39"/>
    </row>
    <row r="49" spans="1:12" x14ac:dyDescent="0.25">
      <c r="A49" s="39" t="s">
        <v>93</v>
      </c>
      <c r="B49" s="39" t="s">
        <v>91</v>
      </c>
      <c r="C49" s="51">
        <v>0.5</v>
      </c>
      <c r="D49" s="39" t="s">
        <v>113</v>
      </c>
      <c r="E49" s="52">
        <v>3.5999999999999999E-3</v>
      </c>
      <c r="F49" s="45"/>
      <c r="G49" s="39"/>
      <c r="H49" s="39"/>
      <c r="I49" s="39"/>
      <c r="J49" s="39"/>
      <c r="K49" s="39"/>
      <c r="L49" s="39"/>
    </row>
    <row r="50" spans="1:12" x14ac:dyDescent="0.25">
      <c r="A50" s="39"/>
      <c r="B50" s="39" t="s">
        <v>88</v>
      </c>
      <c r="C50" s="51">
        <v>0.5</v>
      </c>
      <c r="D50" s="39" t="s">
        <v>86</v>
      </c>
      <c r="E50" s="52">
        <v>9.4999999999999998E-3</v>
      </c>
      <c r="F50" s="45">
        <f>C49+C50</f>
        <v>1</v>
      </c>
      <c r="G50" s="39"/>
      <c r="H50" s="39"/>
      <c r="I50" s="39"/>
      <c r="J50" s="39"/>
      <c r="K50" s="39"/>
      <c r="L50" s="39"/>
    </row>
    <row r="51" spans="1:12" x14ac:dyDescent="0.25">
      <c r="A51" s="39" t="s">
        <v>94</v>
      </c>
      <c r="B51" s="39" t="s">
        <v>121</v>
      </c>
      <c r="C51" s="51">
        <v>0.5</v>
      </c>
      <c r="D51" s="39" t="s">
        <v>122</v>
      </c>
      <c r="E51" s="52">
        <v>3.8E-3</v>
      </c>
      <c r="F51" s="45"/>
      <c r="G51" s="39"/>
      <c r="H51" s="39"/>
      <c r="I51" s="39"/>
      <c r="J51" s="39"/>
      <c r="K51" s="39"/>
      <c r="L51" s="39"/>
    </row>
    <row r="52" spans="1:12" x14ac:dyDescent="0.25">
      <c r="A52" s="39"/>
      <c r="B52" s="39" t="s">
        <v>125</v>
      </c>
      <c r="C52" s="51">
        <v>0.5</v>
      </c>
      <c r="D52" s="39" t="s">
        <v>113</v>
      </c>
      <c r="E52" s="52">
        <v>3.5999999999999999E-3</v>
      </c>
      <c r="F52" s="45">
        <f>C51+C52</f>
        <v>1</v>
      </c>
      <c r="G52" s="39"/>
      <c r="H52" s="39"/>
      <c r="I52" s="39"/>
      <c r="J52" s="39"/>
      <c r="K52" s="39"/>
      <c r="L52" s="39"/>
    </row>
    <row r="53" spans="1:12" x14ac:dyDescent="0.25">
      <c r="A53" t="s">
        <v>95</v>
      </c>
      <c r="B53" t="s">
        <v>143</v>
      </c>
      <c r="C53" s="60">
        <v>0.5</v>
      </c>
      <c r="D53" t="s">
        <v>74</v>
      </c>
      <c r="E53" s="61">
        <v>5.1000000000000004E-3</v>
      </c>
      <c r="G53" s="39"/>
      <c r="H53" s="39"/>
      <c r="I53" s="39"/>
      <c r="J53" s="39"/>
      <c r="K53" s="39"/>
      <c r="L53" s="39"/>
    </row>
    <row r="54" spans="1:12" x14ac:dyDescent="0.25">
      <c r="B54" t="s">
        <v>125</v>
      </c>
      <c r="C54" s="60">
        <v>0.5</v>
      </c>
      <c r="D54" t="s">
        <v>113</v>
      </c>
      <c r="E54" s="61">
        <v>3.5999999999999999E-3</v>
      </c>
      <c r="F54" s="58">
        <f>C53+C54</f>
        <v>1</v>
      </c>
      <c r="G54" s="39"/>
      <c r="H54" s="39"/>
      <c r="I54" s="39"/>
      <c r="J54" s="39"/>
      <c r="K54" s="39"/>
      <c r="L54" s="39"/>
    </row>
    <row r="55" spans="1:12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x14ac:dyDescent="0.25">
      <c r="A57" s="42" t="s">
        <v>108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30" customHeight="1" x14ac:dyDescent="0.25">
      <c r="A58" s="43" t="s">
        <v>106</v>
      </c>
      <c r="B58" s="43" t="s">
        <v>8</v>
      </c>
      <c r="C58" s="43" t="s">
        <v>9</v>
      </c>
      <c r="D58" s="43" t="s">
        <v>10</v>
      </c>
      <c r="E58" s="43" t="s">
        <v>11</v>
      </c>
      <c r="F58" s="43" t="s">
        <v>12</v>
      </c>
      <c r="G58" s="43" t="s">
        <v>13</v>
      </c>
      <c r="H58" s="43" t="s">
        <v>14</v>
      </c>
      <c r="I58" s="43" t="s">
        <v>15</v>
      </c>
      <c r="J58" s="43" t="s">
        <v>96</v>
      </c>
      <c r="K58" s="43" t="s">
        <v>109</v>
      </c>
      <c r="L58" s="43" t="s">
        <v>114</v>
      </c>
    </row>
    <row r="59" spans="1:12" x14ac:dyDescent="0.25">
      <c r="A59" s="54" t="s">
        <v>132</v>
      </c>
      <c r="B59" s="53">
        <f t="shared" ref="B59:I59" si="1">$C$43*B19+$C$44*B20</f>
        <v>0</v>
      </c>
      <c r="C59" s="53">
        <f t="shared" si="1"/>
        <v>0</v>
      </c>
      <c r="D59" s="53">
        <f t="shared" si="1"/>
        <v>0.44799999999999995</v>
      </c>
      <c r="E59" s="53">
        <f t="shared" si="1"/>
        <v>8.3999999999999991E-2</v>
      </c>
      <c r="F59" s="53">
        <f t="shared" si="1"/>
        <v>3.15E-2</v>
      </c>
      <c r="G59" s="53">
        <f t="shared" si="1"/>
        <v>1.4E-3</v>
      </c>
      <c r="H59" s="53">
        <f t="shared" si="1"/>
        <v>0.43440000000000001</v>
      </c>
      <c r="I59" s="53">
        <f t="shared" si="1"/>
        <v>6.9999999999999999E-4</v>
      </c>
      <c r="J59" s="53">
        <f>SUM(B59:I59)</f>
        <v>0.99999999999999989</v>
      </c>
      <c r="K59" s="48">
        <f>$C$43*$E$6+$C$44*$E$7</f>
        <v>6.9899999999999988E-3</v>
      </c>
      <c r="L59" s="53"/>
    </row>
    <row r="60" spans="1:12" x14ac:dyDescent="0.25">
      <c r="A60" s="39" t="s">
        <v>133</v>
      </c>
      <c r="B60" s="45">
        <f>'Model Portfolios'!D8</f>
        <v>0</v>
      </c>
      <c r="C60" s="45">
        <f>'Model Portfolios'!E8</f>
        <v>0</v>
      </c>
      <c r="D60" s="45">
        <f>'Model Portfolios'!F8</f>
        <v>0.56999999999999995</v>
      </c>
      <c r="E60" s="45">
        <f>'Model Portfolios'!G8</f>
        <v>8.5000000000000006E-2</v>
      </c>
      <c r="F60" s="45">
        <f>'Model Portfolios'!H8</f>
        <v>0.03</v>
      </c>
      <c r="G60" s="45">
        <f>'Model Portfolios'!I8</f>
        <v>0</v>
      </c>
      <c r="H60" s="45">
        <f>'Model Portfolios'!J8</f>
        <v>0.3</v>
      </c>
      <c r="I60" s="45">
        <f>'Model Portfolios'!K8</f>
        <v>1.4999999999999999E-2</v>
      </c>
      <c r="J60" s="45">
        <f>SUM(B60:I60)</f>
        <v>0.99999999999999989</v>
      </c>
      <c r="K60" s="44">
        <f>'Model Portfolios'!Q8</f>
        <v>4.4999999999999997E-3</v>
      </c>
      <c r="L60" s="45">
        <f>'Model Portfolios'!S8</f>
        <v>2.1100000000000001E-2</v>
      </c>
    </row>
    <row r="61" spans="1:12" x14ac:dyDescent="0.25">
      <c r="A61" s="50" t="s">
        <v>134</v>
      </c>
      <c r="B61" s="55">
        <f t="shared" ref="B61:L61" si="2">B59-B60</f>
        <v>0</v>
      </c>
      <c r="C61" s="55">
        <f t="shared" si="2"/>
        <v>0</v>
      </c>
      <c r="D61" s="55">
        <f t="shared" si="2"/>
        <v>-0.122</v>
      </c>
      <c r="E61" s="55">
        <f t="shared" si="2"/>
        <v>-1.0000000000000148E-3</v>
      </c>
      <c r="F61" s="55">
        <f t="shared" si="2"/>
        <v>1.5000000000000013E-3</v>
      </c>
      <c r="G61" s="55">
        <f t="shared" si="2"/>
        <v>1.4E-3</v>
      </c>
      <c r="H61" s="55">
        <f t="shared" si="2"/>
        <v>0.13440000000000002</v>
      </c>
      <c r="I61" s="55">
        <f t="shared" si="2"/>
        <v>-1.43E-2</v>
      </c>
      <c r="J61" s="55">
        <f t="shared" si="2"/>
        <v>0</v>
      </c>
      <c r="K61" s="56">
        <f t="shared" si="2"/>
        <v>2.4899999999999992E-3</v>
      </c>
      <c r="L61" s="55">
        <f t="shared" si="2"/>
        <v>-2.1100000000000001E-2</v>
      </c>
    </row>
    <row r="62" spans="1:12" x14ac:dyDescent="0.25">
      <c r="A62" s="39"/>
      <c r="B62" s="45"/>
      <c r="C62" s="45"/>
      <c r="D62" s="45"/>
      <c r="E62" s="45"/>
      <c r="F62" s="45"/>
      <c r="G62" s="45"/>
      <c r="H62" s="45"/>
      <c r="I62" s="45"/>
      <c r="J62" s="45"/>
      <c r="K62" s="44"/>
      <c r="L62" s="45"/>
    </row>
    <row r="63" spans="1:12" x14ac:dyDescent="0.25">
      <c r="A63" s="54" t="s">
        <v>135</v>
      </c>
      <c r="B63" s="53">
        <f t="shared" ref="B63:I63" si="3">$C$45*B21+$C$46*B22</f>
        <v>0.24340000000000001</v>
      </c>
      <c r="C63" s="53">
        <f t="shared" si="3"/>
        <v>0.12079999999999999</v>
      </c>
      <c r="D63" s="53">
        <f t="shared" si="3"/>
        <v>0.36320000000000002</v>
      </c>
      <c r="E63" s="53">
        <f t="shared" si="3"/>
        <v>8.3400000000000002E-2</v>
      </c>
      <c r="F63" s="53">
        <f t="shared" si="3"/>
        <v>3.6200000000000003E-2</v>
      </c>
      <c r="G63" s="53">
        <f t="shared" si="3"/>
        <v>1.2E-2</v>
      </c>
      <c r="H63" s="53">
        <f t="shared" si="3"/>
        <v>0.13339999999999999</v>
      </c>
      <c r="I63" s="53">
        <f t="shared" si="3"/>
        <v>7.6E-3</v>
      </c>
      <c r="J63" s="53">
        <f>SUM(B63:I63)</f>
        <v>1</v>
      </c>
      <c r="K63" s="48">
        <f>$C$45*$E$45+$C$46*$E$46</f>
        <v>7.1199999999999996E-3</v>
      </c>
      <c r="L63" s="53">
        <f>$C$45*$G$8+$C$46*$G$9</f>
        <v>6.1399999999999996E-2</v>
      </c>
    </row>
    <row r="64" spans="1:12" x14ac:dyDescent="0.25">
      <c r="A64" s="39" t="s">
        <v>136</v>
      </c>
      <c r="B64" s="45">
        <f>'Model Portfolios'!D9</f>
        <v>0.25</v>
      </c>
      <c r="C64" s="45">
        <f>'Model Portfolios'!E9</f>
        <v>0.14000000000000001</v>
      </c>
      <c r="D64" s="45">
        <f>'Model Portfolios'!F9</f>
        <v>0.39</v>
      </c>
      <c r="E64" s="45">
        <f>'Model Portfolios'!G9</f>
        <v>8.5000000000000006E-2</v>
      </c>
      <c r="F64" s="45">
        <f>'Model Portfolios'!H9</f>
        <v>3.5000000000000003E-2</v>
      </c>
      <c r="G64" s="45">
        <f>'Model Portfolios'!I9</f>
        <v>0</v>
      </c>
      <c r="H64" s="45">
        <f>'Model Portfolios'!J9</f>
        <v>0.1</v>
      </c>
      <c r="I64" s="45">
        <f>'Model Portfolios'!K9</f>
        <v>0</v>
      </c>
      <c r="J64" s="45">
        <f>SUM(B64:I64)</f>
        <v>1</v>
      </c>
      <c r="K64" s="44">
        <f>'Model Portfolios'!Q9</f>
        <v>6.6E-3</v>
      </c>
      <c r="L64" s="45">
        <f>'Model Portfolios'!S9</f>
        <v>7.6700000000000004E-2</v>
      </c>
    </row>
    <row r="65" spans="1:12" x14ac:dyDescent="0.25">
      <c r="A65" s="50" t="s">
        <v>134</v>
      </c>
      <c r="B65" s="55">
        <f t="shared" ref="B65:L65" si="4">B63-B64</f>
        <v>-6.5999999999999948E-3</v>
      </c>
      <c r="C65" s="55">
        <f t="shared" si="4"/>
        <v>-1.9200000000000023E-2</v>
      </c>
      <c r="D65" s="55">
        <f t="shared" si="4"/>
        <v>-2.679999999999999E-2</v>
      </c>
      <c r="E65" s="55">
        <f t="shared" si="4"/>
        <v>-1.6000000000000042E-3</v>
      </c>
      <c r="F65" s="55">
        <f t="shared" si="4"/>
        <v>1.1999999999999997E-3</v>
      </c>
      <c r="G65" s="55">
        <f t="shared" si="4"/>
        <v>1.2E-2</v>
      </c>
      <c r="H65" s="55">
        <f t="shared" si="4"/>
        <v>3.3399999999999985E-2</v>
      </c>
      <c r="I65" s="55">
        <f t="shared" si="4"/>
        <v>7.6E-3</v>
      </c>
      <c r="J65" s="55">
        <f t="shared" si="4"/>
        <v>0</v>
      </c>
      <c r="K65" s="56">
        <f t="shared" si="4"/>
        <v>5.1999999999999963E-4</v>
      </c>
      <c r="L65" s="55">
        <f t="shared" si="4"/>
        <v>-1.5300000000000008E-2</v>
      </c>
    </row>
    <row r="66" spans="1:12" x14ac:dyDescent="0.25">
      <c r="A66" s="39"/>
      <c r="B66" s="45"/>
      <c r="C66" s="45"/>
      <c r="D66" s="45"/>
      <c r="E66" s="45"/>
      <c r="F66" s="45"/>
      <c r="G66" s="45"/>
      <c r="H66" s="45"/>
      <c r="I66" s="45"/>
      <c r="J66" s="45"/>
      <c r="K66" s="44"/>
      <c r="L66" s="45"/>
    </row>
    <row r="67" spans="1:12" x14ac:dyDescent="0.25">
      <c r="A67" s="54" t="s">
        <v>137</v>
      </c>
      <c r="B67" s="53">
        <f t="shared" ref="B67:I67" si="5">$C$47*B24+$C$48*B19</f>
        <v>0.29625000000000001</v>
      </c>
      <c r="C67" s="53">
        <f t="shared" si="5"/>
        <v>0.23249999999999998</v>
      </c>
      <c r="D67" s="53">
        <f t="shared" si="5"/>
        <v>0.2515</v>
      </c>
      <c r="E67" s="53">
        <f t="shared" si="5"/>
        <v>7.7249999999999999E-2</v>
      </c>
      <c r="F67" s="53">
        <f t="shared" si="5"/>
        <v>2.9250000000000002E-2</v>
      </c>
      <c r="G67" s="53">
        <f t="shared" si="5"/>
        <v>1.2500000000000001E-2</v>
      </c>
      <c r="H67" s="53">
        <f t="shared" si="5"/>
        <v>8.7749999999999995E-2</v>
      </c>
      <c r="I67" s="53">
        <f t="shared" si="5"/>
        <v>1.3000000000000001E-2</v>
      </c>
      <c r="J67" s="53">
        <f>SUM(B67:I67)</f>
        <v>1</v>
      </c>
      <c r="K67" s="48">
        <f>$C$47*$E$11+$C$48*$E$6</f>
        <v>5.5499999999999994E-3</v>
      </c>
      <c r="L67" s="53">
        <f>$C$47*$G$11+$C$48*$G$6</f>
        <v>6.6750000000000004E-2</v>
      </c>
    </row>
    <row r="68" spans="1:12" x14ac:dyDescent="0.25">
      <c r="A68" s="39" t="s">
        <v>138</v>
      </c>
      <c r="B68" s="45">
        <f>'Model Portfolios'!D10</f>
        <v>0.31</v>
      </c>
      <c r="C68" s="45">
        <f>'Model Portfolios'!E10</f>
        <v>0.255</v>
      </c>
      <c r="D68" s="45">
        <f>'Model Portfolios'!F10</f>
        <v>0.25</v>
      </c>
      <c r="E68" s="45">
        <f>'Model Portfolios'!G10</f>
        <v>5.5E-2</v>
      </c>
      <c r="F68" s="45">
        <f>'Model Portfolios'!H10</f>
        <v>3.5000000000000003E-2</v>
      </c>
      <c r="G68" s="45">
        <f>'Model Portfolios'!I10</f>
        <v>0</v>
      </c>
      <c r="H68" s="45">
        <f>'Model Portfolios'!J10</f>
        <v>9.5000000000000001E-2</v>
      </c>
      <c r="I68" s="45">
        <f>'Model Portfolios'!K10</f>
        <v>0</v>
      </c>
      <c r="J68" s="45">
        <f>SUM(B68:I68)</f>
        <v>1</v>
      </c>
      <c r="K68" s="44">
        <f>'Model Portfolios'!Q10</f>
        <v>4.0000000000000001E-3</v>
      </c>
      <c r="L68" s="45">
        <f>'Model Portfolios'!S10</f>
        <v>9.4399999999999998E-2</v>
      </c>
    </row>
    <row r="69" spans="1:12" x14ac:dyDescent="0.25">
      <c r="A69" s="50" t="s">
        <v>134</v>
      </c>
      <c r="B69" s="55">
        <f t="shared" ref="B69:L69" si="6">B67-B68</f>
        <v>-1.3749999999999984E-2</v>
      </c>
      <c r="C69" s="55">
        <f t="shared" si="6"/>
        <v>-2.250000000000002E-2</v>
      </c>
      <c r="D69" s="55">
        <f t="shared" si="6"/>
        <v>1.5000000000000013E-3</v>
      </c>
      <c r="E69" s="55">
        <f t="shared" si="6"/>
        <v>2.2249999999999999E-2</v>
      </c>
      <c r="F69" s="55">
        <f t="shared" si="6"/>
        <v>-5.7500000000000016E-3</v>
      </c>
      <c r="G69" s="55">
        <f t="shared" si="6"/>
        <v>1.2500000000000001E-2</v>
      </c>
      <c r="H69" s="55">
        <f t="shared" si="6"/>
        <v>-7.2500000000000064E-3</v>
      </c>
      <c r="I69" s="55">
        <f t="shared" si="6"/>
        <v>1.3000000000000001E-2</v>
      </c>
      <c r="J69" s="55">
        <f t="shared" si="6"/>
        <v>0</v>
      </c>
      <c r="K69" s="56">
        <f t="shared" si="6"/>
        <v>1.5499999999999993E-3</v>
      </c>
      <c r="L69" s="55">
        <f t="shared" si="6"/>
        <v>-2.7649999999999994E-2</v>
      </c>
    </row>
    <row r="70" spans="1:12" x14ac:dyDescent="0.25">
      <c r="A70" s="39"/>
      <c r="B70" s="45"/>
      <c r="C70" s="45"/>
      <c r="D70" s="45"/>
      <c r="E70" s="45"/>
      <c r="F70" s="45"/>
      <c r="G70" s="45"/>
      <c r="H70" s="45"/>
      <c r="I70" s="45"/>
      <c r="J70" s="45"/>
      <c r="K70" s="44"/>
      <c r="L70" s="45"/>
    </row>
    <row r="71" spans="1:12" x14ac:dyDescent="0.25">
      <c r="A71" s="54" t="s">
        <v>139</v>
      </c>
      <c r="B71" s="53">
        <f t="shared" ref="B71:I71" si="7">$C$49*B24+$C$50*B23</f>
        <v>0.41800000000000004</v>
      </c>
      <c r="C71" s="53">
        <f t="shared" si="7"/>
        <v>0.27600000000000002</v>
      </c>
      <c r="D71" s="53">
        <f t="shared" si="7"/>
        <v>0.13650000000000001</v>
      </c>
      <c r="E71" s="53">
        <f t="shared" si="7"/>
        <v>6.8000000000000005E-2</v>
      </c>
      <c r="F71" s="53">
        <f t="shared" si="7"/>
        <v>2.5000000000000001E-2</v>
      </c>
      <c r="G71" s="53">
        <f t="shared" si="7"/>
        <v>9.0000000000000011E-3</v>
      </c>
      <c r="H71" s="53">
        <f t="shared" si="7"/>
        <v>5.0500000000000003E-2</v>
      </c>
      <c r="I71" s="53">
        <f t="shared" si="7"/>
        <v>1.7000000000000001E-2</v>
      </c>
      <c r="J71" s="53">
        <f>SUM(B71:I71)</f>
        <v>1</v>
      </c>
      <c r="K71" s="48">
        <f>$C$49*$E$49+$C$50*$E$50</f>
        <v>6.5500000000000003E-3</v>
      </c>
      <c r="L71" s="53">
        <f>$C$49*$G$11+$C$50*$G$10</f>
        <v>9.2999999999999999E-2</v>
      </c>
    </row>
    <row r="72" spans="1:12" x14ac:dyDescent="0.25">
      <c r="A72" s="39" t="s">
        <v>140</v>
      </c>
      <c r="B72" s="45">
        <f>'Model Portfolios'!D11</f>
        <v>0.43</v>
      </c>
      <c r="C72" s="45">
        <f>'Model Portfolios'!E11</f>
        <v>0.28000000000000003</v>
      </c>
      <c r="D72" s="45">
        <f>'Model Portfolios'!F11</f>
        <v>0.16500000000000001</v>
      </c>
      <c r="E72" s="45">
        <f>'Model Portfolios'!G11</f>
        <v>6.5000000000000002E-2</v>
      </c>
      <c r="F72" s="45">
        <f>'Model Portfolios'!H11</f>
        <v>0.03</v>
      </c>
      <c r="G72" s="45">
        <f>'Model Portfolios'!I11</f>
        <v>0</v>
      </c>
      <c r="H72" s="45">
        <f>'Model Portfolios'!J11</f>
        <v>0.03</v>
      </c>
      <c r="I72" s="45">
        <f>'Model Portfolios'!K11</f>
        <v>0</v>
      </c>
      <c r="J72" s="45">
        <f>SUM(B72:I72)</f>
        <v>1</v>
      </c>
      <c r="K72" s="44">
        <f>'Model Portfolios'!Q11</f>
        <v>6.8999999999999999E-3</v>
      </c>
      <c r="L72" s="45">
        <f>'Model Portfolios'!S11</f>
        <v>0.1041</v>
      </c>
    </row>
    <row r="73" spans="1:12" x14ac:dyDescent="0.25">
      <c r="A73" s="50" t="s">
        <v>134</v>
      </c>
      <c r="B73" s="55">
        <f t="shared" ref="B73:L73" si="8">B71-B72</f>
        <v>-1.1999999999999955E-2</v>
      </c>
      <c r="C73" s="55">
        <f t="shared" si="8"/>
        <v>-4.0000000000000036E-3</v>
      </c>
      <c r="D73" s="55">
        <f t="shared" si="8"/>
        <v>-2.8499999999999998E-2</v>
      </c>
      <c r="E73" s="55">
        <f t="shared" si="8"/>
        <v>3.0000000000000027E-3</v>
      </c>
      <c r="F73" s="55">
        <f t="shared" si="8"/>
        <v>-4.9999999999999975E-3</v>
      </c>
      <c r="G73" s="55">
        <f t="shared" si="8"/>
        <v>9.0000000000000011E-3</v>
      </c>
      <c r="H73" s="55">
        <f t="shared" si="8"/>
        <v>2.0500000000000004E-2</v>
      </c>
      <c r="I73" s="55">
        <f t="shared" si="8"/>
        <v>1.7000000000000001E-2</v>
      </c>
      <c r="J73" s="55">
        <f t="shared" si="8"/>
        <v>0</v>
      </c>
      <c r="K73" s="56">
        <f t="shared" si="8"/>
        <v>-3.4999999999999962E-4</v>
      </c>
      <c r="L73" s="55">
        <f t="shared" si="8"/>
        <v>-1.1099999999999999E-2</v>
      </c>
    </row>
    <row r="74" spans="1:12" x14ac:dyDescent="0.25">
      <c r="A74" s="39"/>
      <c r="B74" s="45"/>
      <c r="C74" s="45"/>
      <c r="D74" s="45"/>
      <c r="E74" s="45"/>
      <c r="F74" s="45"/>
      <c r="G74" s="45"/>
      <c r="H74" s="45"/>
      <c r="I74" s="45"/>
      <c r="J74" s="45"/>
      <c r="K74" s="44"/>
      <c r="L74" s="45"/>
    </row>
    <row r="75" spans="1:12" x14ac:dyDescent="0.25">
      <c r="A75" s="54" t="s">
        <v>141</v>
      </c>
      <c r="B75" s="53">
        <f t="shared" ref="B75:I75" si="9">$C$51*B25+$C$52*B26</f>
        <v>0.47149999999999997</v>
      </c>
      <c r="C75" s="53">
        <f t="shared" si="9"/>
        <v>0.49825000000000003</v>
      </c>
      <c r="D75" s="53">
        <f t="shared" si="9"/>
        <v>0</v>
      </c>
      <c r="E75" s="53">
        <f t="shared" si="9"/>
        <v>0</v>
      </c>
      <c r="F75" s="53">
        <f t="shared" si="9"/>
        <v>2.5000000000000001E-2</v>
      </c>
      <c r="G75" s="53">
        <f t="shared" si="9"/>
        <v>0</v>
      </c>
      <c r="H75" s="53">
        <f t="shared" si="9"/>
        <v>3.5000000000000001E-3</v>
      </c>
      <c r="I75" s="53">
        <f t="shared" si="9"/>
        <v>1.75E-3</v>
      </c>
      <c r="J75" s="53">
        <f>SUM(B75:I75)</f>
        <v>1</v>
      </c>
      <c r="K75" s="48">
        <f>$C$51*$E$51+$C$52*$E$52</f>
        <v>3.7000000000000002E-3</v>
      </c>
      <c r="L75" s="53"/>
    </row>
    <row r="76" spans="1:12" x14ac:dyDescent="0.25">
      <c r="A76" s="39" t="s">
        <v>142</v>
      </c>
      <c r="B76" s="45">
        <f>'Model Portfolios'!D12</f>
        <v>0.47499999999999998</v>
      </c>
      <c r="C76" s="45">
        <f>'Model Portfolios'!E12</f>
        <v>0.49</v>
      </c>
      <c r="D76" s="45">
        <f>'Model Portfolios'!F12</f>
        <v>0</v>
      </c>
      <c r="E76" s="45">
        <f>'Model Portfolios'!G12</f>
        <v>0</v>
      </c>
      <c r="F76" s="45">
        <f>'Model Portfolios'!H12</f>
        <v>2.5000000000000001E-2</v>
      </c>
      <c r="G76" s="45">
        <f>'Model Portfolios'!I12</f>
        <v>0</v>
      </c>
      <c r="H76" s="45">
        <f>'Model Portfolios'!J12</f>
        <v>0.01</v>
      </c>
      <c r="I76" s="45">
        <f>'Model Portfolios'!K12</f>
        <v>0</v>
      </c>
      <c r="J76" s="45">
        <f>SUM(B76:I76)</f>
        <v>1</v>
      </c>
      <c r="K76" s="44">
        <f>'Model Portfolios'!Q12</f>
        <v>3.7000000000000002E-3</v>
      </c>
      <c r="L76" s="45">
        <f>'Model Portfolios'!S12</f>
        <v>0.11840000000000001</v>
      </c>
    </row>
    <row r="77" spans="1:12" x14ac:dyDescent="0.25">
      <c r="A77" s="50" t="s">
        <v>134</v>
      </c>
      <c r="B77" s="55">
        <f t="shared" ref="B77:L77" si="10">B75-B76</f>
        <v>-3.5000000000000031E-3</v>
      </c>
      <c r="C77" s="55">
        <f t="shared" si="10"/>
        <v>8.2500000000000351E-3</v>
      </c>
      <c r="D77" s="55">
        <f t="shared" si="10"/>
        <v>0</v>
      </c>
      <c r="E77" s="55">
        <f t="shared" si="10"/>
        <v>0</v>
      </c>
      <c r="F77" s="55">
        <f t="shared" si="10"/>
        <v>0</v>
      </c>
      <c r="G77" s="55">
        <f t="shared" si="10"/>
        <v>0</v>
      </c>
      <c r="H77" s="55">
        <f t="shared" si="10"/>
        <v>-6.5000000000000006E-3</v>
      </c>
      <c r="I77" s="55">
        <f t="shared" si="10"/>
        <v>1.75E-3</v>
      </c>
      <c r="J77" s="55">
        <f t="shared" si="10"/>
        <v>0</v>
      </c>
      <c r="K77" s="56">
        <f t="shared" si="10"/>
        <v>0</v>
      </c>
      <c r="L77" s="55">
        <f t="shared" si="10"/>
        <v>-0.11840000000000001</v>
      </c>
    </row>
    <row r="79" spans="1:12" x14ac:dyDescent="0.25">
      <c r="A79" s="64" t="s">
        <v>147</v>
      </c>
      <c r="B79" s="62">
        <f t="shared" ref="B79:I79" si="11">$C$53*B27+$C$54*B26</f>
        <v>0</v>
      </c>
      <c r="C79" s="62">
        <f t="shared" si="11"/>
        <v>0.85824999999999996</v>
      </c>
      <c r="D79" s="62">
        <f t="shared" si="11"/>
        <v>0</v>
      </c>
      <c r="E79" s="62">
        <f t="shared" si="11"/>
        <v>9.8500000000000004E-2</v>
      </c>
      <c r="F79" s="62">
        <f t="shared" si="11"/>
        <v>0</v>
      </c>
      <c r="G79" s="62">
        <f t="shared" si="11"/>
        <v>1.7500000000000002E-2</v>
      </c>
      <c r="H79" s="62">
        <f t="shared" si="11"/>
        <v>5.0000000000000001E-4</v>
      </c>
      <c r="I79" s="62">
        <f t="shared" si="11"/>
        <v>2.5250000000000002E-2</v>
      </c>
      <c r="J79" s="62">
        <f>SUM(B79:I79)</f>
        <v>0.99999999999999989</v>
      </c>
      <c r="K79" s="63">
        <f>$C$53*$E$53+$C$54*$E$54</f>
        <v>4.3499999999999997E-3</v>
      </c>
      <c r="L79" s="62"/>
    </row>
    <row r="80" spans="1:12" x14ac:dyDescent="0.25">
      <c r="A80" t="s">
        <v>148</v>
      </c>
      <c r="B80" s="58">
        <f>'Model Portfolios'!D13</f>
        <v>5.0000000000000001E-3</v>
      </c>
      <c r="C80" s="58">
        <f>'Model Portfolios'!E13</f>
        <v>0.84</v>
      </c>
      <c r="D80" s="58">
        <f>'Model Portfolios'!F13</f>
        <v>0</v>
      </c>
      <c r="E80" s="58">
        <f>'Model Portfolios'!G13</f>
        <v>0.105</v>
      </c>
      <c r="F80" s="58">
        <f>'Model Portfolios'!H13</f>
        <v>0.02</v>
      </c>
      <c r="G80" s="58">
        <f>'Model Portfolios'!I13</f>
        <v>0</v>
      </c>
      <c r="H80" s="58">
        <f>'Model Portfolios'!J13</f>
        <v>0.03</v>
      </c>
      <c r="I80" s="58">
        <f>'Model Portfolios'!K13</f>
        <v>0</v>
      </c>
      <c r="J80" s="58">
        <f>SUM(B80:I80)</f>
        <v>1</v>
      </c>
      <c r="K80" s="59">
        <f>'Model Portfolios'!Q13</f>
        <v>4.3E-3</v>
      </c>
      <c r="L80" s="58">
        <f>'Model Portfolios'!S13</f>
        <v>0.12620000000000001</v>
      </c>
    </row>
    <row r="81" spans="1:12" x14ac:dyDescent="0.25">
      <c r="A81" s="65" t="s">
        <v>134</v>
      </c>
      <c r="B81" s="66">
        <f t="shared" ref="B81:L81" si="12">B79-B80</f>
        <v>-5.0000000000000001E-3</v>
      </c>
      <c r="C81" s="66">
        <f t="shared" si="12"/>
        <v>1.8249999999999988E-2</v>
      </c>
      <c r="D81" s="66">
        <f t="shared" si="12"/>
        <v>0</v>
      </c>
      <c r="E81" s="66">
        <f t="shared" si="12"/>
        <v>-6.4999999999999919E-3</v>
      </c>
      <c r="F81" s="66">
        <f t="shared" si="12"/>
        <v>-0.02</v>
      </c>
      <c r="G81" s="66">
        <f t="shared" si="12"/>
        <v>1.7500000000000002E-2</v>
      </c>
      <c r="H81" s="66">
        <f t="shared" si="12"/>
        <v>-2.9499999999999998E-2</v>
      </c>
      <c r="I81" s="66">
        <f t="shared" si="12"/>
        <v>2.5250000000000002E-2</v>
      </c>
      <c r="J81" s="66">
        <f t="shared" si="12"/>
        <v>0</v>
      </c>
      <c r="K81" s="67">
        <f t="shared" si="12"/>
        <v>4.9999999999999697E-5</v>
      </c>
      <c r="L81" s="66">
        <f t="shared" si="12"/>
        <v>-0.12620000000000001</v>
      </c>
    </row>
    <row r="83" spans="1:12" x14ac:dyDescent="0.25">
      <c r="A83" s="68" t="s">
        <v>104</v>
      </c>
    </row>
    <row r="84" spans="1:12" x14ac:dyDescent="0.25">
      <c r="A84" s="69" t="s">
        <v>149</v>
      </c>
    </row>
    <row r="85" spans="1:12" x14ac:dyDescent="0.25">
      <c r="A85" s="69" t="s">
        <v>150</v>
      </c>
    </row>
    <row r="86" spans="1:12" x14ac:dyDescent="0.25">
      <c r="A86" s="69" t="s">
        <v>151</v>
      </c>
    </row>
    <row r="87" spans="1:12" x14ac:dyDescent="0.25">
      <c r="A87" s="69" t="s">
        <v>152</v>
      </c>
    </row>
    <row r="88" spans="1:12" x14ac:dyDescent="0.25">
      <c r="A88" s="69" t="s">
        <v>153</v>
      </c>
    </row>
    <row r="89" spans="1:12" x14ac:dyDescent="0.25">
      <c r="A89" s="69" t="s">
        <v>156</v>
      </c>
    </row>
    <row r="90" spans="1:12" x14ac:dyDescent="0.25">
      <c r="A90" s="69" t="s">
        <v>154</v>
      </c>
    </row>
    <row r="91" spans="1:12" x14ac:dyDescent="0.25">
      <c r="A91" s="69" t="s">
        <v>155</v>
      </c>
    </row>
  </sheetData>
  <mergeCells count="1"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DE93-0817-48FC-AD2A-7E7A8CC8F105}">
  <dimension ref="A1:R59"/>
  <sheetViews>
    <sheetView tabSelected="1" workbookViewId="0"/>
  </sheetViews>
  <sheetFormatPr defaultRowHeight="15" x14ac:dyDescent="0.25"/>
  <cols>
    <col min="1" max="1" width="20.7109375" customWidth="1"/>
    <col min="2" max="2" width="30.7109375" customWidth="1"/>
    <col min="3" max="10" width="9.7109375" customWidth="1"/>
    <col min="11" max="11" width="10.7109375" customWidth="1"/>
    <col min="12" max="12" width="11.7109375" customWidth="1"/>
    <col min="13" max="13" width="9.7109375" customWidth="1"/>
    <col min="14" max="16" width="12.7109375" customWidth="1"/>
    <col min="17" max="17" width="15.7109375" customWidth="1"/>
    <col min="18" max="18" width="7.7109375" customWidth="1"/>
  </cols>
  <sheetData>
    <row r="1" spans="1:18" ht="18" x14ac:dyDescent="0.25">
      <c r="A1" s="40" t="s">
        <v>174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x14ac:dyDescent="0.25">
      <c r="A2" s="78" t="s">
        <v>195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3" spans="1:18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x14ac:dyDescent="0.25">
      <c r="A4" s="39" t="s">
        <v>2</v>
      </c>
      <c r="B4" s="39" t="s">
        <v>196</v>
      </c>
      <c r="C4" s="39"/>
      <c r="D4" s="39" t="s">
        <v>175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ht="36" customHeight="1" x14ac:dyDescent="0.25">
      <c r="A6" s="43" t="s">
        <v>6</v>
      </c>
      <c r="B6" s="43" t="s">
        <v>7</v>
      </c>
      <c r="C6" s="43" t="s">
        <v>8</v>
      </c>
      <c r="D6" s="43" t="s">
        <v>9</v>
      </c>
      <c r="E6" s="43" t="s">
        <v>10</v>
      </c>
      <c r="F6" s="43" t="s">
        <v>11</v>
      </c>
      <c r="G6" s="43" t="s">
        <v>12</v>
      </c>
      <c r="H6" s="43" t="s">
        <v>13</v>
      </c>
      <c r="I6" s="43" t="s">
        <v>14</v>
      </c>
      <c r="J6" s="43" t="s">
        <v>15</v>
      </c>
      <c r="K6" s="43" t="s">
        <v>176</v>
      </c>
      <c r="L6" s="43" t="s">
        <v>16</v>
      </c>
      <c r="M6" s="43" t="s">
        <v>197</v>
      </c>
      <c r="N6" s="43" t="s">
        <v>210</v>
      </c>
      <c r="O6" s="43" t="s">
        <v>198</v>
      </c>
      <c r="P6" s="43" t="s">
        <v>18</v>
      </c>
      <c r="Q6" s="43" t="s">
        <v>177</v>
      </c>
      <c r="R6" s="43" t="s">
        <v>178</v>
      </c>
    </row>
    <row r="7" spans="1:18" x14ac:dyDescent="0.25">
      <c r="A7" s="39" t="s">
        <v>20</v>
      </c>
      <c r="B7" s="39" t="s">
        <v>179</v>
      </c>
      <c r="C7" s="45">
        <v>0</v>
      </c>
      <c r="D7" s="45">
        <v>0</v>
      </c>
      <c r="E7" s="45">
        <v>0.79800000000000004</v>
      </c>
      <c r="F7" s="45">
        <v>2.1000000000000001E-2</v>
      </c>
      <c r="G7" s="45">
        <v>1.2999999999999999E-2</v>
      </c>
      <c r="H7" s="45">
        <v>0</v>
      </c>
      <c r="I7" s="45">
        <v>0.13700000000000001</v>
      </c>
      <c r="J7" s="45">
        <v>2.8000000000000001E-2</v>
      </c>
      <c r="K7" s="45">
        <v>2E-3</v>
      </c>
      <c r="L7" s="46">
        <f>SUM(C7:K7)</f>
        <v>0.99900000000000011</v>
      </c>
      <c r="M7" s="52">
        <v>3.0000000000000001E-3</v>
      </c>
      <c r="N7" s="52">
        <v>1.18E-2</v>
      </c>
      <c r="O7" s="76">
        <v>1.4800000000000001E-2</v>
      </c>
      <c r="P7" s="104">
        <v>0.01</v>
      </c>
      <c r="Q7" s="44">
        <v>3.9100000000000003E-2</v>
      </c>
      <c r="R7" s="39" t="s">
        <v>193</v>
      </c>
    </row>
    <row r="8" spans="1:18" x14ac:dyDescent="0.25">
      <c r="A8" s="47" t="s">
        <v>180</v>
      </c>
      <c r="B8" s="47" t="s">
        <v>181</v>
      </c>
      <c r="C8" s="53">
        <v>0.104</v>
      </c>
      <c r="D8" s="53">
        <v>0.23100000000000001</v>
      </c>
      <c r="E8" s="53">
        <v>0.55200000000000005</v>
      </c>
      <c r="F8" s="53">
        <v>5.5E-2</v>
      </c>
      <c r="G8" s="53">
        <v>1.2E-2</v>
      </c>
      <c r="H8" s="53">
        <v>1E-3</v>
      </c>
      <c r="I8" s="53">
        <v>1.0999999999999999E-2</v>
      </c>
      <c r="J8" s="53">
        <v>2.5999999999999999E-2</v>
      </c>
      <c r="K8" s="53">
        <v>8.0000000000000002E-3</v>
      </c>
      <c r="L8" s="73">
        <f>SUM(C8:K8)</f>
        <v>1</v>
      </c>
      <c r="M8" s="74">
        <v>0</v>
      </c>
      <c r="N8" s="74">
        <v>1.2999999999999999E-2</v>
      </c>
      <c r="O8" s="76">
        <v>1.7999999999999999E-2</v>
      </c>
      <c r="P8" s="104">
        <v>2.5000000000000001E-2</v>
      </c>
      <c r="Q8" s="48">
        <v>7.6300000000000007E-2</v>
      </c>
      <c r="R8" s="47" t="s">
        <v>193</v>
      </c>
    </row>
    <row r="9" spans="1:18" x14ac:dyDescent="0.25">
      <c r="A9" s="39" t="s">
        <v>24</v>
      </c>
      <c r="B9" s="39" t="s">
        <v>182</v>
      </c>
      <c r="C9" s="45">
        <v>0.246</v>
      </c>
      <c r="D9" s="45">
        <v>0.28100000000000003</v>
      </c>
      <c r="E9" s="45">
        <v>0.33900000000000002</v>
      </c>
      <c r="F9" s="45">
        <v>6.5000000000000002E-2</v>
      </c>
      <c r="G9" s="45">
        <v>1.7000000000000001E-2</v>
      </c>
      <c r="H9" s="45">
        <v>2E-3</v>
      </c>
      <c r="I9" s="45">
        <v>1.4999999999999999E-2</v>
      </c>
      <c r="J9" s="45">
        <v>2.5999999999999999E-2</v>
      </c>
      <c r="K9" s="45">
        <v>8.9999999999999993E-3</v>
      </c>
      <c r="L9" s="46">
        <f>SUM(C9:K9)</f>
        <v>1</v>
      </c>
      <c r="M9" s="52">
        <v>0</v>
      </c>
      <c r="N9" s="52">
        <v>1.4E-2</v>
      </c>
      <c r="O9" s="76">
        <v>1.9599999999999999E-2</v>
      </c>
      <c r="P9" s="104">
        <v>3.5000000000000003E-2</v>
      </c>
      <c r="Q9" s="44">
        <v>8.6599999999999996E-2</v>
      </c>
      <c r="R9" s="39" t="s">
        <v>193</v>
      </c>
    </row>
    <row r="10" spans="1:18" x14ac:dyDescent="0.25">
      <c r="A10" s="47" t="s">
        <v>183</v>
      </c>
      <c r="B10" s="47" t="s">
        <v>184</v>
      </c>
      <c r="C10" s="53">
        <v>0.373</v>
      </c>
      <c r="D10" s="53">
        <v>0.29899999999999999</v>
      </c>
      <c r="E10" s="53">
        <v>0.185</v>
      </c>
      <c r="F10" s="53">
        <v>6.7000000000000004E-2</v>
      </c>
      <c r="G10" s="53">
        <v>2.1999999999999999E-2</v>
      </c>
      <c r="H10" s="53">
        <v>3.0000000000000001E-3</v>
      </c>
      <c r="I10" s="53">
        <v>1.7000000000000001E-2</v>
      </c>
      <c r="J10" s="53">
        <v>2.5000000000000001E-2</v>
      </c>
      <c r="K10" s="53">
        <v>8.9999999999999993E-3</v>
      </c>
      <c r="L10" s="73">
        <f>SUM(C10:K10)</f>
        <v>1</v>
      </c>
      <c r="M10" s="74">
        <v>0</v>
      </c>
      <c r="N10" s="74">
        <v>1.47E-2</v>
      </c>
      <c r="O10" s="76">
        <v>2.1499999999999998E-2</v>
      </c>
      <c r="P10" s="104">
        <v>0.05</v>
      </c>
      <c r="Q10" s="48">
        <v>9.5899999999999999E-2</v>
      </c>
      <c r="R10" s="47" t="s">
        <v>193</v>
      </c>
    </row>
    <row r="11" spans="1:18" x14ac:dyDescent="0.25">
      <c r="A11" s="39" t="s">
        <v>28</v>
      </c>
      <c r="B11" s="39" t="s">
        <v>185</v>
      </c>
      <c r="C11" s="45">
        <v>0.51300000000000001</v>
      </c>
      <c r="D11" s="45">
        <v>0.41399999999999998</v>
      </c>
      <c r="E11" s="45">
        <v>0</v>
      </c>
      <c r="F11" s="45">
        <v>0</v>
      </c>
      <c r="G11" s="45">
        <v>1.4999999999999999E-2</v>
      </c>
      <c r="H11" s="45">
        <v>0</v>
      </c>
      <c r="I11" s="45">
        <v>2.9000000000000001E-2</v>
      </c>
      <c r="J11" s="45">
        <v>2.1999999999999999E-2</v>
      </c>
      <c r="K11" s="45">
        <v>6.0000000000000001E-3</v>
      </c>
      <c r="L11" s="46">
        <f>SUM(C11:K11)</f>
        <v>0.99900000000000011</v>
      </c>
      <c r="M11" s="52">
        <v>3.0000000000000001E-3</v>
      </c>
      <c r="N11" s="52">
        <v>2.1899999999999999E-2</v>
      </c>
      <c r="O11" s="76">
        <v>2.4899999999999999E-2</v>
      </c>
      <c r="P11" s="104">
        <v>6.5000000000000002E-2</v>
      </c>
      <c r="Q11" s="44">
        <v>0.10630000000000001</v>
      </c>
      <c r="R11" s="72" t="s">
        <v>194</v>
      </c>
    </row>
    <row r="12" spans="1:18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</row>
    <row r="13" spans="1:18" x14ac:dyDescent="0.25">
      <c r="A13" s="39" t="s">
        <v>217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18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</row>
    <row r="15" spans="1:18" x14ac:dyDescent="0.25">
      <c r="A15" s="75" t="s">
        <v>219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</row>
    <row r="16" spans="1:18" x14ac:dyDescent="0.25">
      <c r="A16" s="75" t="s">
        <v>220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</row>
    <row r="17" spans="1:18" x14ac:dyDescent="0.25">
      <c r="A17" s="75" t="s">
        <v>221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</row>
    <row r="18" spans="1:18" x14ac:dyDescent="0.25">
      <c r="A18" s="75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spans="1:18" x14ac:dyDescent="0.25">
      <c r="A19" s="75" t="s">
        <v>211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spans="1:18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spans="1:18" x14ac:dyDescent="0.25">
      <c r="A21" s="42" t="s">
        <v>212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spans="1:18" ht="51" x14ac:dyDescent="0.25">
      <c r="A22" s="43" t="s">
        <v>106</v>
      </c>
      <c r="B22" s="43" t="s">
        <v>62</v>
      </c>
      <c r="C22" s="43" t="s">
        <v>107</v>
      </c>
      <c r="D22" s="43" t="s">
        <v>213</v>
      </c>
      <c r="E22" s="43" t="s">
        <v>199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x14ac:dyDescent="0.25">
      <c r="A23" s="39" t="s">
        <v>186</v>
      </c>
      <c r="B23" s="39" t="s">
        <v>200</v>
      </c>
      <c r="C23" s="45">
        <v>0.8</v>
      </c>
      <c r="D23" s="52">
        <v>1.18E-2</v>
      </c>
      <c r="E23" s="44">
        <v>1.8700000000000001E-2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spans="1:18" x14ac:dyDescent="0.25">
      <c r="A24" s="47" t="s">
        <v>186</v>
      </c>
      <c r="B24" s="47" t="s">
        <v>201</v>
      </c>
      <c r="C24" s="53">
        <v>0.2</v>
      </c>
      <c r="D24" s="74">
        <v>1.1599999999999999E-2</v>
      </c>
      <c r="E24" s="48">
        <v>7.6300000000000007E-2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spans="1:18" x14ac:dyDescent="0.25">
      <c r="A25" s="39" t="s">
        <v>187</v>
      </c>
      <c r="B25" s="39" t="s">
        <v>201</v>
      </c>
      <c r="C25" s="45">
        <v>0.47099999999999997</v>
      </c>
      <c r="D25" s="52">
        <v>1.1599999999999999E-2</v>
      </c>
      <c r="E25" s="44">
        <v>7.6300000000000007E-2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spans="1:18" x14ac:dyDescent="0.25">
      <c r="A26" s="47" t="s">
        <v>187</v>
      </c>
      <c r="B26" s="47" t="s">
        <v>214</v>
      </c>
      <c r="C26" s="53">
        <v>0.30499999999999999</v>
      </c>
      <c r="D26" s="74">
        <v>1.43E-2</v>
      </c>
      <c r="E26" s="48">
        <v>0.12790000000000001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x14ac:dyDescent="0.25">
      <c r="A27" s="39" t="s">
        <v>187</v>
      </c>
      <c r="B27" s="39" t="s">
        <v>200</v>
      </c>
      <c r="C27" s="45">
        <v>8.7999999999999995E-2</v>
      </c>
      <c r="D27" s="52">
        <v>1.18E-2</v>
      </c>
      <c r="E27" s="44">
        <v>1.8700000000000001E-2</v>
      </c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 x14ac:dyDescent="0.25">
      <c r="A28" s="47" t="s">
        <v>187</v>
      </c>
      <c r="B28" s="47" t="s">
        <v>202</v>
      </c>
      <c r="C28" s="53">
        <v>7.1999999999999995E-2</v>
      </c>
      <c r="D28" s="74">
        <v>2.1499999999999998E-2</v>
      </c>
      <c r="E28" s="48">
        <v>0.22600000000000001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 x14ac:dyDescent="0.25">
      <c r="A29" s="39" t="s">
        <v>187</v>
      </c>
      <c r="B29" s="39" t="s">
        <v>203</v>
      </c>
      <c r="C29" s="45">
        <v>4.8000000000000001E-2</v>
      </c>
      <c r="D29" s="52">
        <v>0.01</v>
      </c>
      <c r="E29" s="44">
        <v>0.22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x14ac:dyDescent="0.25">
      <c r="A30" s="47" t="s">
        <v>187</v>
      </c>
      <c r="B30" s="47" t="s">
        <v>188</v>
      </c>
      <c r="C30" s="53">
        <v>8.0000000000000002E-3</v>
      </c>
      <c r="D30" s="74">
        <v>0</v>
      </c>
      <c r="E30" s="4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1:18" x14ac:dyDescent="0.25">
      <c r="A31" s="39" t="s">
        <v>187</v>
      </c>
      <c r="B31" s="39" t="s">
        <v>204</v>
      </c>
      <c r="C31" s="45">
        <v>5.0000000000000001E-3</v>
      </c>
      <c r="D31" s="52">
        <v>1.52E-2</v>
      </c>
      <c r="E31" s="44">
        <v>0.1447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1:18" x14ac:dyDescent="0.25">
      <c r="A32" s="47" t="s">
        <v>187</v>
      </c>
      <c r="B32" s="47" t="s">
        <v>189</v>
      </c>
      <c r="C32" s="53">
        <v>3.0000000000000001E-3</v>
      </c>
      <c r="D32" s="74">
        <v>0</v>
      </c>
      <c r="E32" s="48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 x14ac:dyDescent="0.25">
      <c r="A33" s="39" t="s">
        <v>24</v>
      </c>
      <c r="B33" s="39" t="s">
        <v>214</v>
      </c>
      <c r="C33" s="45">
        <v>0.35799999999999998</v>
      </c>
      <c r="D33" s="77">
        <v>1.43E-2</v>
      </c>
      <c r="E33" s="44">
        <v>0.12790000000000001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1:18" x14ac:dyDescent="0.25">
      <c r="A34" s="47" t="s">
        <v>24</v>
      </c>
      <c r="B34" s="47" t="s">
        <v>201</v>
      </c>
      <c r="C34" s="53">
        <v>0.30299999999999999</v>
      </c>
      <c r="D34" s="74">
        <v>1.1599999999999999E-2</v>
      </c>
      <c r="E34" s="48">
        <v>7.6300000000000007E-2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</row>
    <row r="35" spans="1:18" x14ac:dyDescent="0.25">
      <c r="A35" s="39" t="s">
        <v>24</v>
      </c>
      <c r="B35" s="39" t="s">
        <v>202</v>
      </c>
      <c r="C35" s="45">
        <v>0.17</v>
      </c>
      <c r="D35" s="52">
        <v>2.1499999999999998E-2</v>
      </c>
      <c r="E35" s="44">
        <v>0.22600000000000001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x14ac:dyDescent="0.25">
      <c r="A36" s="47" t="s">
        <v>24</v>
      </c>
      <c r="B36" s="47" t="s">
        <v>203</v>
      </c>
      <c r="C36" s="53">
        <v>0.115</v>
      </c>
      <c r="D36" s="74">
        <v>0.01</v>
      </c>
      <c r="E36" s="48">
        <v>0.22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x14ac:dyDescent="0.25">
      <c r="A37" s="39" t="s">
        <v>24</v>
      </c>
      <c r="B37" s="39" t="s">
        <v>200</v>
      </c>
      <c r="C37" s="45">
        <v>3.9E-2</v>
      </c>
      <c r="D37" s="52">
        <v>1.18E-2</v>
      </c>
      <c r="E37" s="44">
        <v>1.8700000000000001E-2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 x14ac:dyDescent="0.25">
      <c r="A38" s="47" t="s">
        <v>24</v>
      </c>
      <c r="B38" s="47" t="s">
        <v>188</v>
      </c>
      <c r="C38" s="53">
        <v>8.0000000000000002E-3</v>
      </c>
      <c r="D38" s="74">
        <v>0</v>
      </c>
      <c r="E38" s="48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spans="1:18" x14ac:dyDescent="0.25">
      <c r="A39" s="39" t="s">
        <v>24</v>
      </c>
      <c r="B39" s="39" t="s">
        <v>204</v>
      </c>
      <c r="C39" s="45">
        <v>5.0000000000000001E-3</v>
      </c>
      <c r="D39" s="52">
        <v>1.52E-2</v>
      </c>
      <c r="E39" s="44">
        <v>0.1447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spans="1:18" x14ac:dyDescent="0.25">
      <c r="A40" s="47" t="s">
        <v>24</v>
      </c>
      <c r="B40" s="47" t="s">
        <v>189</v>
      </c>
      <c r="C40" s="53">
        <v>2E-3</v>
      </c>
      <c r="D40" s="74">
        <v>0</v>
      </c>
      <c r="E40" s="48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spans="1:18" x14ac:dyDescent="0.25">
      <c r="A41" s="39" t="s">
        <v>190</v>
      </c>
      <c r="B41" s="39" t="s">
        <v>214</v>
      </c>
      <c r="C41" s="45">
        <v>0.36899999999999999</v>
      </c>
      <c r="D41" s="77">
        <v>1.43E-2</v>
      </c>
      <c r="E41" s="44">
        <v>0.12790000000000001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spans="1:18" x14ac:dyDescent="0.25">
      <c r="A42" s="47" t="s">
        <v>190</v>
      </c>
      <c r="B42" s="47" t="s">
        <v>202</v>
      </c>
      <c r="C42" s="53">
        <v>0.255</v>
      </c>
      <c r="D42" s="74">
        <v>2.1499999999999998E-2</v>
      </c>
      <c r="E42" s="48">
        <v>0.22600000000000001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</row>
    <row r="43" spans="1:18" x14ac:dyDescent="0.25">
      <c r="A43" s="39" t="s">
        <v>190</v>
      </c>
      <c r="B43" s="39" t="s">
        <v>201</v>
      </c>
      <c r="C43" s="45">
        <v>0.17699999999999999</v>
      </c>
      <c r="D43" s="52">
        <v>1.1599999999999999E-2</v>
      </c>
      <c r="E43" s="44">
        <v>7.6300000000000007E-2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</row>
    <row r="44" spans="1:18" x14ac:dyDescent="0.25">
      <c r="A44" s="47" t="s">
        <v>190</v>
      </c>
      <c r="B44" s="47" t="s">
        <v>203</v>
      </c>
      <c r="C44" s="53">
        <v>0.17599999999999999</v>
      </c>
      <c r="D44" s="74">
        <v>0.01</v>
      </c>
      <c r="E44" s="48">
        <v>0.22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</row>
    <row r="45" spans="1:18" x14ac:dyDescent="0.25">
      <c r="A45" s="39" t="s">
        <v>190</v>
      </c>
      <c r="B45" s="39" t="s">
        <v>200</v>
      </c>
      <c r="C45" s="45">
        <v>8.0000000000000002E-3</v>
      </c>
      <c r="D45" s="52">
        <v>1.18E-2</v>
      </c>
      <c r="E45" s="44">
        <v>1.8700000000000001E-2</v>
      </c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</row>
    <row r="46" spans="1:18" x14ac:dyDescent="0.25">
      <c r="A46" s="47" t="s">
        <v>190</v>
      </c>
      <c r="B46" s="47" t="s">
        <v>188</v>
      </c>
      <c r="C46" s="53">
        <v>7.0000000000000001E-3</v>
      </c>
      <c r="D46" s="74">
        <v>0</v>
      </c>
      <c r="E46" s="48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</row>
    <row r="47" spans="1:18" x14ac:dyDescent="0.25">
      <c r="A47" s="39" t="s">
        <v>190</v>
      </c>
      <c r="B47" s="39" t="s">
        <v>204</v>
      </c>
      <c r="C47" s="45">
        <v>5.0000000000000001E-3</v>
      </c>
      <c r="D47" s="52">
        <v>1.52E-2</v>
      </c>
      <c r="E47" s="44">
        <v>0.1447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</row>
    <row r="48" spans="1:18" x14ac:dyDescent="0.25">
      <c r="A48" s="47" t="s">
        <v>190</v>
      </c>
      <c r="B48" s="47" t="s">
        <v>189</v>
      </c>
      <c r="C48" s="53">
        <v>2E-3</v>
      </c>
      <c r="D48" s="74">
        <v>0</v>
      </c>
      <c r="E48" s="48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</row>
    <row r="49" spans="1:18" x14ac:dyDescent="0.25">
      <c r="A49" s="39" t="s">
        <v>191</v>
      </c>
      <c r="B49" s="39" t="s">
        <v>205</v>
      </c>
      <c r="C49" s="45">
        <v>0.85</v>
      </c>
      <c r="D49" s="52">
        <v>2.3300000000000001E-2</v>
      </c>
      <c r="E49" s="44">
        <v>0.1148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</row>
    <row r="50" spans="1:18" x14ac:dyDescent="0.25">
      <c r="A50" s="47" t="s">
        <v>191</v>
      </c>
      <c r="B50" s="47" t="s">
        <v>192</v>
      </c>
      <c r="C50" s="53">
        <v>0.15</v>
      </c>
      <c r="D50" s="74">
        <v>1.37E-2</v>
      </c>
      <c r="E50" s="48">
        <v>0.1258</v>
      </c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</row>
    <row r="51" spans="1:18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spans="1:18" x14ac:dyDescent="0.25">
      <c r="A52" s="42" t="s">
        <v>104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spans="1:18" x14ac:dyDescent="0.25">
      <c r="A53" s="75" t="s">
        <v>206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1:18" x14ac:dyDescent="0.25">
      <c r="A54" s="75" t="s">
        <v>207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spans="1:18" x14ac:dyDescent="0.25">
      <c r="A55" s="75" t="s">
        <v>208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</row>
    <row r="56" spans="1:18" x14ac:dyDescent="0.25">
      <c r="A56" s="75" t="s">
        <v>209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spans="1:18" x14ac:dyDescent="0.25">
      <c r="A57" s="75" t="s">
        <v>215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1:18" x14ac:dyDescent="0.25">
      <c r="A58" s="75" t="s">
        <v>216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spans="1:18" x14ac:dyDescent="0.25">
      <c r="A59" s="69" t="s">
        <v>218</v>
      </c>
    </row>
  </sheetData>
  <mergeCells count="1">
    <mergeCell ref="A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 Insights</vt:lpstr>
      <vt:lpstr>Model Portfolios</vt:lpstr>
      <vt:lpstr>Underlying Funds</vt:lpstr>
      <vt:lpstr>Monarch Model 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Thomas</cp:lastModifiedBy>
  <dcterms:created xsi:type="dcterms:W3CDTF">2026-07-13T11:12:12Z</dcterms:created>
  <dcterms:modified xsi:type="dcterms:W3CDTF">2026-07-24T13:29:11Z</dcterms:modified>
</cp:coreProperties>
</file>